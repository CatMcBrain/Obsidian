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grams\Obsidian\Life\Universidad\UNED\Física III\F3-Opt\"/>
    </mc:Choice>
  </mc:AlternateContent>
  <xr:revisionPtr revIDLastSave="0" documentId="13_ncr:1_{67ABCF36-49AC-4C00-90DD-0CAC41965C8E}" xr6:coauthVersionLast="47" xr6:coauthVersionMax="47" xr10:uidLastSave="{00000000-0000-0000-0000-000000000000}"/>
  <bookViews>
    <workbookView xWindow="-110" yWindow="-110" windowWidth="19420" windowHeight="11650" activeTab="1" xr2:uid="{34010D82-8636-4BA4-8B12-F9256301A39E}"/>
  </bookViews>
  <sheets>
    <sheet name="Sheet1" sheetId="1" r:id="rId1"/>
    <sheet name="data" sheetId="3" r:id="rId2"/>
    <sheet name="visu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3" l="1"/>
  <c r="D2" i="3"/>
  <c r="D60" i="3"/>
  <c r="G60" i="3" s="1"/>
  <c r="D59" i="3"/>
  <c r="G59" i="3" s="1"/>
  <c r="D58" i="3"/>
  <c r="G58" i="3" s="1"/>
  <c r="G57" i="3"/>
  <c r="D57" i="3"/>
  <c r="D56" i="3"/>
  <c r="G56" i="3" s="1"/>
  <c r="D55" i="3"/>
  <c r="G55" i="3" s="1"/>
  <c r="D54" i="3"/>
  <c r="G54" i="3" s="1"/>
  <c r="G53" i="3"/>
  <c r="D53" i="3"/>
  <c r="D52" i="3"/>
  <c r="G52" i="3" s="1"/>
  <c r="F51" i="3"/>
  <c r="D51" i="3"/>
  <c r="G51" i="3" s="1"/>
  <c r="G50" i="3"/>
  <c r="F50" i="3"/>
  <c r="D50" i="3"/>
  <c r="F49" i="3"/>
  <c r="D49" i="3"/>
  <c r="G49" i="3" s="1"/>
  <c r="G48" i="3"/>
  <c r="F48" i="3"/>
  <c r="D48" i="3"/>
  <c r="G47" i="3"/>
  <c r="F47" i="3"/>
  <c r="D47" i="3"/>
  <c r="F46" i="3"/>
  <c r="D46" i="3"/>
  <c r="G46" i="3" s="1"/>
  <c r="F45" i="3"/>
  <c r="D45" i="3"/>
  <c r="G45" i="3" s="1"/>
  <c r="G44" i="3"/>
  <c r="F44" i="3"/>
  <c r="D44" i="3"/>
  <c r="G43" i="3"/>
  <c r="F43" i="3"/>
  <c r="D43" i="3"/>
  <c r="F42" i="3"/>
  <c r="D42" i="3"/>
  <c r="G42" i="3" s="1"/>
  <c r="G41" i="3"/>
  <c r="F41" i="3"/>
  <c r="D41" i="3"/>
  <c r="G40" i="3"/>
  <c r="F40" i="3"/>
  <c r="D40" i="3"/>
  <c r="F39" i="3"/>
  <c r="D39" i="3"/>
  <c r="G39" i="3" s="1"/>
  <c r="F38" i="3"/>
  <c r="D38" i="3"/>
  <c r="G38" i="3" s="1"/>
  <c r="F37" i="3"/>
  <c r="D37" i="3"/>
  <c r="G37" i="3" s="1"/>
  <c r="G36" i="3"/>
  <c r="F36" i="3"/>
  <c r="D36" i="3"/>
  <c r="G35" i="3"/>
  <c r="F35" i="3"/>
  <c r="D35" i="3"/>
  <c r="F34" i="3"/>
  <c r="D34" i="3"/>
  <c r="G34" i="3" s="1"/>
  <c r="G33" i="3"/>
  <c r="F33" i="3"/>
  <c r="D33" i="3"/>
  <c r="G32" i="3"/>
  <c r="F32" i="3"/>
  <c r="D32" i="3"/>
  <c r="F31" i="3"/>
  <c r="D31" i="3"/>
  <c r="G31" i="3" s="1"/>
  <c r="F30" i="3"/>
  <c r="D30" i="3"/>
  <c r="G30" i="3" s="1"/>
  <c r="F29" i="3"/>
  <c r="D29" i="3"/>
  <c r="G29" i="3" s="1"/>
  <c r="G28" i="3"/>
  <c r="F28" i="3"/>
  <c r="D28" i="3"/>
  <c r="G27" i="3"/>
  <c r="F27" i="3"/>
  <c r="D27" i="3"/>
  <c r="F26" i="3"/>
  <c r="D26" i="3"/>
  <c r="G26" i="3" s="1"/>
  <c r="G25" i="3"/>
  <c r="F25" i="3"/>
  <c r="D25" i="3"/>
  <c r="G24" i="3"/>
  <c r="F24" i="3"/>
  <c r="D24" i="3"/>
  <c r="F23" i="3"/>
  <c r="D23" i="3"/>
  <c r="G23" i="3" s="1"/>
  <c r="F22" i="3"/>
  <c r="D22" i="3"/>
  <c r="G22" i="3" s="1"/>
  <c r="F21" i="3"/>
  <c r="D21" i="3"/>
  <c r="G21" i="3" s="1"/>
  <c r="G20" i="3"/>
  <c r="F20" i="3"/>
  <c r="D20" i="3"/>
  <c r="G19" i="3"/>
  <c r="F19" i="3"/>
  <c r="D19" i="3"/>
  <c r="F18" i="3"/>
  <c r="D18" i="3"/>
  <c r="G18" i="3" s="1"/>
  <c r="G17" i="3"/>
  <c r="F17" i="3"/>
  <c r="D17" i="3"/>
  <c r="G16" i="3"/>
  <c r="F16" i="3"/>
  <c r="D16" i="3"/>
  <c r="F15" i="3"/>
  <c r="D15" i="3"/>
  <c r="G15" i="3" s="1"/>
  <c r="F14" i="3"/>
  <c r="D14" i="3"/>
  <c r="G14" i="3" s="1"/>
  <c r="F13" i="3"/>
  <c r="D13" i="3"/>
  <c r="G13" i="3" s="1"/>
  <c r="G12" i="3"/>
  <c r="F12" i="3"/>
  <c r="D12" i="3"/>
  <c r="G11" i="3"/>
  <c r="F11" i="3"/>
  <c r="D11" i="3"/>
  <c r="F10" i="3"/>
  <c r="D10" i="3"/>
  <c r="G10" i="3" s="1"/>
  <c r="G9" i="3"/>
  <c r="F9" i="3"/>
  <c r="D9" i="3"/>
  <c r="G8" i="3"/>
  <c r="F8" i="3"/>
  <c r="D8" i="3"/>
  <c r="F7" i="3"/>
  <c r="D7" i="3"/>
  <c r="G7" i="3" s="1"/>
  <c r="F6" i="3"/>
  <c r="D6" i="3"/>
  <c r="G6" i="3" s="1"/>
  <c r="F5" i="3"/>
  <c r="D5" i="3"/>
  <c r="G5" i="3" s="1"/>
  <c r="G4" i="3"/>
  <c r="F4" i="3"/>
  <c r="D4" i="3"/>
  <c r="G3" i="3"/>
  <c r="F3" i="3"/>
  <c r="D3" i="3"/>
  <c r="F2" i="3"/>
  <c r="G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G61" i="1"/>
  <c r="D3" i="1"/>
  <c r="G3" i="1" s="1"/>
  <c r="D4" i="1"/>
  <c r="D5" i="1"/>
  <c r="G5" i="1" s="1"/>
  <c r="D6" i="1"/>
  <c r="G6" i="1" s="1"/>
  <c r="D7" i="1"/>
  <c r="D8" i="1"/>
  <c r="D9" i="1"/>
  <c r="D10" i="1"/>
  <c r="G10" i="1" s="1"/>
  <c r="D11" i="1"/>
  <c r="G11" i="1" s="1"/>
  <c r="D12" i="1"/>
  <c r="D13" i="1"/>
  <c r="D14" i="1"/>
  <c r="G14" i="1" s="1"/>
  <c r="D15" i="1"/>
  <c r="D16" i="1"/>
  <c r="D17" i="1"/>
  <c r="D18" i="1"/>
  <c r="G18" i="1" s="1"/>
  <c r="D19" i="1"/>
  <c r="G19" i="1" s="1"/>
  <c r="D20" i="1"/>
  <c r="D21" i="1"/>
  <c r="D22" i="1"/>
  <c r="G22" i="1" s="1"/>
  <c r="D23" i="1"/>
  <c r="D24" i="1"/>
  <c r="D25" i="1"/>
  <c r="D26" i="1"/>
  <c r="G26" i="1" s="1"/>
  <c r="D27" i="1"/>
  <c r="G27" i="1" s="1"/>
  <c r="D28" i="1"/>
  <c r="D29" i="1"/>
  <c r="D30" i="1"/>
  <c r="G30" i="1" s="1"/>
  <c r="D31" i="1"/>
  <c r="D32" i="1"/>
  <c r="D33" i="1"/>
  <c r="D34" i="1"/>
  <c r="G34" i="1" s="1"/>
  <c r="D35" i="1"/>
  <c r="G35" i="1" s="1"/>
  <c r="D36" i="1"/>
  <c r="D37" i="1"/>
  <c r="D38" i="1"/>
  <c r="G38" i="1" s="1"/>
  <c r="D39" i="1"/>
  <c r="D40" i="1"/>
  <c r="D41" i="1"/>
  <c r="D42" i="1"/>
  <c r="G42" i="1" s="1"/>
  <c r="D43" i="1"/>
  <c r="G43" i="1" s="1"/>
  <c r="D44" i="1"/>
  <c r="D45" i="1"/>
  <c r="D46" i="1"/>
  <c r="G46" i="1" s="1"/>
  <c r="D47" i="1"/>
  <c r="D48" i="1"/>
  <c r="D49" i="1"/>
  <c r="D50" i="1"/>
  <c r="G50" i="1" s="1"/>
  <c r="D51" i="1"/>
  <c r="G51" i="1" s="1"/>
  <c r="D52" i="1"/>
  <c r="D53" i="1"/>
  <c r="D54" i="1"/>
  <c r="G54" i="1" s="1"/>
  <c r="D55" i="1"/>
  <c r="D56" i="1"/>
  <c r="D57" i="1"/>
  <c r="D58" i="1"/>
  <c r="G58" i="1" s="1"/>
  <c r="D59" i="1"/>
  <c r="G59" i="1" s="1"/>
  <c r="D60" i="1"/>
  <c r="G4" i="1"/>
  <c r="G7" i="1"/>
  <c r="G8" i="1"/>
  <c r="G9" i="1"/>
  <c r="G12" i="1"/>
  <c r="G13" i="1"/>
  <c r="G15" i="1"/>
  <c r="G16" i="1"/>
  <c r="G17" i="1"/>
  <c r="G20" i="1"/>
  <c r="G21" i="1"/>
  <c r="G23" i="1"/>
  <c r="G24" i="1"/>
  <c r="G25" i="1"/>
  <c r="G28" i="1"/>
  <c r="G29" i="1"/>
  <c r="G31" i="1"/>
  <c r="G32" i="1"/>
  <c r="G33" i="1"/>
  <c r="G36" i="1"/>
  <c r="G37" i="1"/>
  <c r="G39" i="1"/>
  <c r="G40" i="1"/>
  <c r="G41" i="1"/>
  <c r="G44" i="1"/>
  <c r="G45" i="1"/>
  <c r="G47" i="1"/>
  <c r="G48" i="1"/>
  <c r="G49" i="1"/>
  <c r="G52" i="1"/>
  <c r="G53" i="1"/>
  <c r="G55" i="1"/>
  <c r="G56" i="1"/>
  <c r="G57" i="1"/>
  <c r="G60" i="1"/>
  <c r="G2" i="1"/>
  <c r="D2" i="1"/>
</calcChain>
</file>

<file path=xl/sharedStrings.xml><?xml version="1.0" encoding="utf-8"?>
<sst xmlns="http://schemas.openxmlformats.org/spreadsheetml/2006/main" count="261" uniqueCount="78">
  <si>
    <t>z</t>
  </si>
  <si>
    <t>H</t>
  </si>
  <si>
    <t>ID</t>
  </si>
  <si>
    <t>ANTENNAE</t>
  </si>
  <si>
    <t>CENTAURUS A</t>
  </si>
  <si>
    <t>IC 2378</t>
  </si>
  <si>
    <t>LGS 3</t>
  </si>
  <si>
    <t>M31</t>
  </si>
  <si>
    <t>M32</t>
  </si>
  <si>
    <t>M33</t>
  </si>
  <si>
    <t>M49</t>
  </si>
  <si>
    <t>M58</t>
  </si>
  <si>
    <t>M60</t>
  </si>
  <si>
    <t>M61</t>
  </si>
  <si>
    <t>M66</t>
  </si>
  <si>
    <t>M74</t>
  </si>
  <si>
    <t>M77</t>
  </si>
  <si>
    <t>M84</t>
  </si>
  <si>
    <t>M87</t>
  </si>
  <si>
    <t>M88</t>
  </si>
  <si>
    <t>M94</t>
  </si>
  <si>
    <t>M95</t>
  </si>
  <si>
    <t>M96</t>
  </si>
  <si>
    <t>M99</t>
  </si>
  <si>
    <t>M100</t>
  </si>
  <si>
    <t>M104</t>
  </si>
  <si>
    <t>M105</t>
  </si>
  <si>
    <t>M106</t>
  </si>
  <si>
    <t>M108</t>
  </si>
  <si>
    <t>M110</t>
  </si>
  <si>
    <t>NGC 300</t>
  </si>
  <si>
    <t>NGC 891</t>
  </si>
  <si>
    <t>NGC 1260</t>
  </si>
  <si>
    <t>NGC 1270</t>
  </si>
  <si>
    <t>NGC 1272</t>
  </si>
  <si>
    <t>NGC 1275</t>
  </si>
  <si>
    <t>NGC 1316</t>
  </si>
  <si>
    <t>NGC 1512</t>
  </si>
  <si>
    <t>NGC 1672</t>
  </si>
  <si>
    <t>NGC 1705</t>
  </si>
  <si>
    <t>NGC 3079</t>
  </si>
  <si>
    <t>NGC 3115</t>
  </si>
  <si>
    <t>NGC 3226</t>
  </si>
  <si>
    <t>NGC 3227</t>
  </si>
  <si>
    <t>NGC 3310</t>
  </si>
  <si>
    <t>NGC 3370</t>
  </si>
  <si>
    <t>NGC 3808</t>
  </si>
  <si>
    <t>NGC 4005</t>
  </si>
  <si>
    <t>NGC 4556</t>
  </si>
  <si>
    <t>NGC 4860</t>
  </si>
  <si>
    <t>NGC 4881</t>
  </si>
  <si>
    <t>NGC 5643</t>
  </si>
  <si>
    <t>NGC 6907</t>
  </si>
  <si>
    <t>3C 273 0</t>
  </si>
  <si>
    <t>ESO 254-3 0</t>
  </si>
  <si>
    <t>ESO 410-6 0</t>
  </si>
  <si>
    <t>LEDA 1163616 0</t>
  </si>
  <si>
    <t>LEDA 2816758 0</t>
  </si>
  <si>
    <t>MGC-02-02-026 0</t>
  </si>
  <si>
    <t>MGC-03-03-004 0</t>
  </si>
  <si>
    <t>Mrk 540 0</t>
  </si>
  <si>
    <t>-</t>
  </si>
  <si>
    <t>d (Mpc)</t>
  </si>
  <si>
    <t>v (m/s)</t>
  </si>
  <si>
    <t>H$_{med}$=</t>
  </si>
  <si>
    <t>m</t>
  </si>
  <si>
    <t>M</t>
  </si>
  <si>
    <t>H (med)=</t>
  </si>
  <si>
    <t>H (m s-1 Mpa-1)</t>
  </si>
  <si>
    <t>v (km/s)</t>
  </si>
  <si>
    <t>LEDA 2816758</t>
  </si>
  <si>
    <t>MGC-02-02-026</t>
  </si>
  <si>
    <t>MGC-03-03-004</t>
  </si>
  <si>
    <t>Mrk 540</t>
  </si>
  <si>
    <t>ESO 410-6</t>
  </si>
  <si>
    <t>ESO 254-3</t>
  </si>
  <si>
    <t>3C 273</t>
  </si>
  <si>
    <t>LEDA 1163616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</si>
</sst>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1" fillId="3" borderId="7" xfId="2" applyBorder="1" applyAlignment="1">
      <alignment horizontal="center" vertical="center"/>
    </xf>
  </cellXfs>
  <cellStyles count="3">
    <cellStyle name="20% - Accent2" xfId="2" builtinId="34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A5BC-304B-4857-B903-917539D955AB}">
  <dimension ref="A1:G61"/>
  <sheetViews>
    <sheetView zoomScale="49" zoomScaleNormal="132" workbookViewId="0">
      <selection activeCell="G1" sqref="G1"/>
    </sheetView>
  </sheetViews>
  <sheetFormatPr defaultRowHeight="14.5" x14ac:dyDescent="0.35"/>
  <cols>
    <col min="1" max="1" width="8.7265625" style="5"/>
    <col min="2" max="2" width="10.7265625" customWidth="1"/>
    <col min="3" max="3" width="9.7265625" bestFit="1" customWidth="1"/>
    <col min="4" max="4" width="12.6328125" bestFit="1" customWidth="1"/>
    <col min="5" max="5" width="8.81640625" bestFit="1" customWidth="1"/>
    <col min="7" max="7" width="12.6328125" customWidth="1"/>
  </cols>
  <sheetData>
    <row r="1" spans="1:7" x14ac:dyDescent="0.35">
      <c r="A1" s="5" t="s">
        <v>2</v>
      </c>
      <c r="B1" s="5" t="s">
        <v>0</v>
      </c>
      <c r="C1" s="5" t="s">
        <v>62</v>
      </c>
      <c r="D1" s="5" t="s">
        <v>63</v>
      </c>
      <c r="E1" s="5" t="s">
        <v>65</v>
      </c>
      <c r="F1" s="5" t="s">
        <v>66</v>
      </c>
      <c r="G1" s="5" t="s">
        <v>68</v>
      </c>
    </row>
    <row r="2" spans="1:7" x14ac:dyDescent="0.35">
      <c r="A2" s="5" t="s">
        <v>3</v>
      </c>
      <c r="B2" s="2">
        <v>5.5929999999999999E-3</v>
      </c>
      <c r="C2" s="1">
        <v>27.9</v>
      </c>
      <c r="D2" s="1">
        <f>B2*299792</f>
        <v>1676.736656</v>
      </c>
      <c r="E2" s="3">
        <v>10.91</v>
      </c>
      <c r="F2" s="3">
        <f>E2-5*LOG10(C2*(10^6)/10)</f>
        <v>-21.31802101636799</v>
      </c>
      <c r="G2" s="1">
        <f>D2/C2</f>
        <v>60.098088028673843</v>
      </c>
    </row>
    <row r="3" spans="1:7" x14ac:dyDescent="0.35">
      <c r="A3" s="5" t="s">
        <v>4</v>
      </c>
      <c r="B3" s="2">
        <v>1.8259999999999999E-3</v>
      </c>
      <c r="C3" s="1">
        <v>4.9000000000000004</v>
      </c>
      <c r="D3" s="1">
        <f t="shared" ref="D3:D60" si="0">B3*299792</f>
        <v>547.42019199999993</v>
      </c>
      <c r="E3" s="3">
        <v>6.84</v>
      </c>
      <c r="F3" s="3">
        <f t="shared" ref="F3:F51" si="1">E3-5*LOG10(C3*(10^6)/10)</f>
        <v>-21.610980400142569</v>
      </c>
      <c r="G3" s="1">
        <f t="shared" ref="G3:G60" si="2">D3/C3</f>
        <v>111.71840653061223</v>
      </c>
    </row>
    <row r="4" spans="1:7" x14ac:dyDescent="0.35">
      <c r="A4" s="5" t="s">
        <v>5</v>
      </c>
      <c r="B4" s="2">
        <v>5.0360000000000002E-2</v>
      </c>
      <c r="C4" s="1">
        <v>213</v>
      </c>
      <c r="D4" s="1">
        <f t="shared" si="0"/>
        <v>15097.52512</v>
      </c>
      <c r="E4" s="3">
        <v>15.3</v>
      </c>
      <c r="F4" s="3">
        <f t="shared" si="1"/>
        <v>-21.341898017193689</v>
      </c>
      <c r="G4" s="1">
        <f t="shared" si="2"/>
        <v>70.880399624413144</v>
      </c>
    </row>
    <row r="5" spans="1:7" x14ac:dyDescent="0.35">
      <c r="A5" s="5" t="s">
        <v>6</v>
      </c>
      <c r="B5" s="2">
        <v>9.5500000000000001E-4</v>
      </c>
      <c r="C5" s="1">
        <v>1.198</v>
      </c>
      <c r="D5" s="1">
        <f t="shared" si="0"/>
        <v>286.30135999999999</v>
      </c>
      <c r="E5" s="3">
        <v>14.3</v>
      </c>
      <c r="F5" s="3">
        <f t="shared" si="1"/>
        <v>-11.092284090266464</v>
      </c>
      <c r="G5" s="1">
        <f t="shared" si="2"/>
        <v>238.98277128547579</v>
      </c>
    </row>
    <row r="6" spans="1:7" x14ac:dyDescent="0.35">
      <c r="A6" s="5" t="s">
        <v>7</v>
      </c>
      <c r="B6" s="2">
        <v>-1E-3</v>
      </c>
      <c r="C6" s="1">
        <v>778</v>
      </c>
      <c r="D6" s="1">
        <f t="shared" si="0"/>
        <v>-299.79200000000003</v>
      </c>
      <c r="E6" s="3">
        <v>3.4</v>
      </c>
      <c r="F6" s="3">
        <f t="shared" si="1"/>
        <v>-36.054897984948447</v>
      </c>
      <c r="G6" s="1">
        <f t="shared" si="2"/>
        <v>-0.38533676092544988</v>
      </c>
    </row>
    <row r="7" spans="1:7" x14ac:dyDescent="0.35">
      <c r="A7" s="5" t="s">
        <v>8</v>
      </c>
      <c r="B7" s="2">
        <v>-6.6399999999999999E-4</v>
      </c>
      <c r="C7" s="1">
        <v>763</v>
      </c>
      <c r="D7" s="1">
        <f t="shared" si="0"/>
        <v>-199.06188799999998</v>
      </c>
      <c r="E7" s="3">
        <v>8.1</v>
      </c>
      <c r="F7" s="3">
        <f t="shared" si="1"/>
        <v>-31.3126226897744</v>
      </c>
      <c r="G7" s="1">
        <f t="shared" si="2"/>
        <v>-0.26089369331585843</v>
      </c>
    </row>
    <row r="8" spans="1:7" x14ac:dyDescent="0.35">
      <c r="A8" s="5" t="s">
        <v>9</v>
      </c>
      <c r="B8" s="2">
        <v>-5.9800000000000001E-4</v>
      </c>
      <c r="C8" s="1">
        <v>835</v>
      </c>
      <c r="D8" s="1">
        <f t="shared" si="0"/>
        <v>-179.27561600000001</v>
      </c>
      <c r="E8" s="3">
        <v>5.7</v>
      </c>
      <c r="F8" s="3">
        <f t="shared" si="1"/>
        <v>-33.908432377418009</v>
      </c>
      <c r="G8" s="1">
        <f t="shared" si="2"/>
        <v>-0.21470133652694612</v>
      </c>
    </row>
    <row r="9" spans="1:7" x14ac:dyDescent="0.35">
      <c r="A9" s="5" t="s">
        <v>10</v>
      </c>
      <c r="B9" s="2">
        <v>3.339E-3</v>
      </c>
      <c r="C9" s="1">
        <v>17.7</v>
      </c>
      <c r="D9" s="1">
        <f t="shared" si="0"/>
        <v>1001.005488</v>
      </c>
      <c r="E9" s="3">
        <v>8.4</v>
      </c>
      <c r="F9" s="3">
        <f t="shared" si="1"/>
        <v>-22.839866331809034</v>
      </c>
      <c r="G9" s="1">
        <f t="shared" si="2"/>
        <v>56.553982372881357</v>
      </c>
    </row>
    <row r="10" spans="1:7" x14ac:dyDescent="0.35">
      <c r="A10" s="5" t="s">
        <v>11</v>
      </c>
      <c r="B10" s="2">
        <v>5.0470000000000003E-3</v>
      </c>
      <c r="C10" s="1">
        <v>19.100000000000001</v>
      </c>
      <c r="D10" s="1">
        <f t="shared" si="0"/>
        <v>1513.0502240000001</v>
      </c>
      <c r="E10" s="3">
        <v>9.66</v>
      </c>
      <c r="F10" s="3">
        <f t="shared" si="1"/>
        <v>-21.745166836238635</v>
      </c>
      <c r="G10" s="1">
        <f t="shared" si="2"/>
        <v>79.217289214659687</v>
      </c>
    </row>
    <row r="11" spans="1:7" x14ac:dyDescent="0.35">
      <c r="A11" s="5" t="s">
        <v>12</v>
      </c>
      <c r="B11" s="2">
        <v>3.6900000000000001E-3</v>
      </c>
      <c r="C11" s="1">
        <v>16.8</v>
      </c>
      <c r="D11" s="1">
        <f t="shared" si="0"/>
        <v>1106.2324800000001</v>
      </c>
      <c r="E11" s="3">
        <v>8.8000000000000007</v>
      </c>
      <c r="F11" s="3">
        <f t="shared" si="1"/>
        <v>-22.326546408629316</v>
      </c>
      <c r="G11" s="1">
        <f t="shared" si="2"/>
        <v>65.847171428571428</v>
      </c>
    </row>
    <row r="12" spans="1:7" x14ac:dyDescent="0.35">
      <c r="A12" s="5" t="s">
        <v>13</v>
      </c>
      <c r="B12" s="2">
        <v>5.2399999999999999E-3</v>
      </c>
      <c r="C12" s="1">
        <v>16.100000000000001</v>
      </c>
      <c r="D12" s="1">
        <f t="shared" si="0"/>
        <v>1570.9100799999999</v>
      </c>
      <c r="E12" s="3">
        <v>9.65</v>
      </c>
      <c r="F12" s="3">
        <f t="shared" si="1"/>
        <v>-21.384129380159251</v>
      </c>
      <c r="G12" s="1">
        <f t="shared" si="2"/>
        <v>97.572054658385071</v>
      </c>
    </row>
    <row r="13" spans="1:7" x14ac:dyDescent="0.35">
      <c r="A13" s="5" t="s">
        <v>14</v>
      </c>
      <c r="B13" s="2">
        <v>2.3400000000000001E-3</v>
      </c>
      <c r="C13" s="1">
        <v>11</v>
      </c>
      <c r="D13" s="1">
        <f t="shared" si="0"/>
        <v>701.51328000000001</v>
      </c>
      <c r="E13" s="3">
        <v>8.9</v>
      </c>
      <c r="F13" s="3">
        <f t="shared" si="1"/>
        <v>-21.306963425791125</v>
      </c>
      <c r="G13" s="1">
        <f t="shared" si="2"/>
        <v>63.773934545454544</v>
      </c>
    </row>
    <row r="14" spans="1:7" x14ac:dyDescent="0.35">
      <c r="A14" s="5" t="s">
        <v>15</v>
      </c>
      <c r="B14" s="2">
        <v>2.1879999999999998E-3</v>
      </c>
      <c r="C14" s="1">
        <v>9.1999999999999993</v>
      </c>
      <c r="D14" s="1">
        <f t="shared" si="0"/>
        <v>655.94489599999997</v>
      </c>
      <c r="E14" s="3">
        <v>9.4</v>
      </c>
      <c r="F14" s="3">
        <f t="shared" si="1"/>
        <v>-20.418939136727779</v>
      </c>
      <c r="G14" s="1">
        <f t="shared" si="2"/>
        <v>71.298358260869563</v>
      </c>
    </row>
    <row r="15" spans="1:7" x14ac:dyDescent="0.35">
      <c r="A15" s="5" t="s">
        <v>16</v>
      </c>
      <c r="B15" s="2">
        <v>3.81E-3</v>
      </c>
      <c r="C15" s="1">
        <v>14.4</v>
      </c>
      <c r="D15" s="1">
        <f t="shared" si="0"/>
        <v>1142.2075199999999</v>
      </c>
      <c r="E15" s="3">
        <v>8.9</v>
      </c>
      <c r="F15" s="3">
        <f t="shared" si="1"/>
        <v>-21.891812460476245</v>
      </c>
      <c r="G15" s="1">
        <f t="shared" si="2"/>
        <v>79.319966666666659</v>
      </c>
    </row>
    <row r="16" spans="1:7" x14ac:dyDescent="0.35">
      <c r="A16" s="5" t="s">
        <v>17</v>
      </c>
      <c r="B16" s="2">
        <v>3.369E-3</v>
      </c>
      <c r="C16" s="1">
        <v>18.399999999999999</v>
      </c>
      <c r="D16" s="1">
        <f t="shared" si="0"/>
        <v>1009.999248</v>
      </c>
      <c r="E16" s="3">
        <v>9.1</v>
      </c>
      <c r="F16" s="3">
        <f t="shared" si="1"/>
        <v>-22.224089115047683</v>
      </c>
      <c r="G16" s="1">
        <f t="shared" si="2"/>
        <v>54.891263478260875</v>
      </c>
    </row>
    <row r="17" spans="1:7" x14ac:dyDescent="0.35">
      <c r="A17" s="5" t="s">
        <v>18</v>
      </c>
      <c r="B17" s="2">
        <v>4.2329999999999998E-3</v>
      </c>
      <c r="C17" s="1">
        <v>18.399999999999999</v>
      </c>
      <c r="D17" s="1">
        <f t="shared" si="0"/>
        <v>1269.019536</v>
      </c>
      <c r="E17" s="3">
        <v>8.6</v>
      </c>
      <c r="F17" s="3">
        <f t="shared" si="1"/>
        <v>-22.724089115047683</v>
      </c>
      <c r="G17" s="1">
        <f t="shared" si="2"/>
        <v>68.968453043478263</v>
      </c>
    </row>
    <row r="18" spans="1:7" x14ac:dyDescent="0.35">
      <c r="A18" s="5" t="s">
        <v>19</v>
      </c>
      <c r="B18" s="2">
        <v>7.6020000000000003E-3</v>
      </c>
      <c r="C18" s="1">
        <v>14.41</v>
      </c>
      <c r="D18" s="1">
        <f t="shared" si="0"/>
        <v>2279.0187839999999</v>
      </c>
      <c r="E18" s="3">
        <v>9.6</v>
      </c>
      <c r="F18" s="3">
        <f t="shared" si="1"/>
        <v>-21.193319904069945</v>
      </c>
      <c r="G18" s="1">
        <f t="shared" si="2"/>
        <v>158.1553632199861</v>
      </c>
    </row>
    <row r="19" spans="1:7" x14ac:dyDescent="0.35">
      <c r="A19" s="5" t="s">
        <v>20</v>
      </c>
      <c r="B19" s="2">
        <v>9.6000000000000002E-4</v>
      </c>
      <c r="C19" s="1">
        <v>4.91</v>
      </c>
      <c r="D19" s="1">
        <f t="shared" si="0"/>
        <v>287.80032</v>
      </c>
      <c r="E19" s="3">
        <v>8.1999999999999993</v>
      </c>
      <c r="F19" s="3">
        <f t="shared" si="1"/>
        <v>-20.255407460614844</v>
      </c>
      <c r="G19" s="1">
        <f t="shared" si="2"/>
        <v>58.615136456211808</v>
      </c>
    </row>
    <row r="20" spans="1:7" x14ac:dyDescent="0.35">
      <c r="A20" s="5" t="s">
        <v>21</v>
      </c>
      <c r="B20" s="2">
        <v>2.5950000000000001E-3</v>
      </c>
      <c r="C20" s="1">
        <v>10</v>
      </c>
      <c r="D20" s="1">
        <f t="shared" si="0"/>
        <v>777.96024</v>
      </c>
      <c r="E20" s="3">
        <v>9.6999999999999993</v>
      </c>
      <c r="F20" s="3">
        <f t="shared" si="1"/>
        <v>-20.3</v>
      </c>
      <c r="G20" s="1">
        <f t="shared" si="2"/>
        <v>77.796024000000003</v>
      </c>
    </row>
    <row r="21" spans="1:7" x14ac:dyDescent="0.35">
      <c r="A21" s="5" t="s">
        <v>22</v>
      </c>
      <c r="B21" s="2">
        <v>3.0119999999999999E-3</v>
      </c>
      <c r="C21" s="1">
        <v>9.6</v>
      </c>
      <c r="D21" s="1">
        <f t="shared" si="0"/>
        <v>902.97350399999993</v>
      </c>
      <c r="E21" s="3">
        <v>9.3000000000000007</v>
      </c>
      <c r="F21" s="3">
        <f t="shared" si="1"/>
        <v>-20.61135616519784</v>
      </c>
      <c r="G21" s="1">
        <f t="shared" si="2"/>
        <v>94.059739999999991</v>
      </c>
    </row>
    <row r="22" spans="1:7" x14ac:dyDescent="0.35">
      <c r="A22" s="5" t="s">
        <v>23</v>
      </c>
      <c r="B22" s="2">
        <v>8.0359999999999997E-3</v>
      </c>
      <c r="C22" s="1">
        <v>15.4</v>
      </c>
      <c r="D22" s="1">
        <f t="shared" si="0"/>
        <v>2409.1285119999998</v>
      </c>
      <c r="E22" s="3">
        <v>9.9</v>
      </c>
      <c r="F22" s="3">
        <f t="shared" si="1"/>
        <v>-21.037603604182316</v>
      </c>
      <c r="G22" s="1">
        <f t="shared" si="2"/>
        <v>156.43691636363636</v>
      </c>
    </row>
    <row r="23" spans="1:7" x14ac:dyDescent="0.35">
      <c r="A23" s="5" t="s">
        <v>24</v>
      </c>
      <c r="B23" s="2">
        <v>5.2500000000000003E-3</v>
      </c>
      <c r="C23" s="1">
        <v>16.86</v>
      </c>
      <c r="D23" s="1">
        <f t="shared" si="0"/>
        <v>1573.9080000000001</v>
      </c>
      <c r="E23" s="3">
        <v>9.4</v>
      </c>
      <c r="F23" s="3">
        <f t="shared" si="1"/>
        <v>-21.734287851443618</v>
      </c>
      <c r="G23" s="1">
        <f t="shared" si="2"/>
        <v>93.351601423487551</v>
      </c>
    </row>
    <row r="24" spans="1:7" x14ac:dyDescent="0.35">
      <c r="A24" s="5" t="s">
        <v>25</v>
      </c>
      <c r="B24" s="2">
        <v>3.6419999999999998E-3</v>
      </c>
      <c r="C24" s="1">
        <v>8.98</v>
      </c>
      <c r="D24" s="1">
        <f t="shared" si="0"/>
        <v>1091.8424640000001</v>
      </c>
      <c r="E24" s="3">
        <v>8</v>
      </c>
      <c r="F24" s="3">
        <f t="shared" si="1"/>
        <v>-21.766381683336522</v>
      </c>
      <c r="G24" s="1">
        <f t="shared" si="2"/>
        <v>121.58602048997773</v>
      </c>
    </row>
    <row r="25" spans="1:7" x14ac:dyDescent="0.35">
      <c r="A25" s="5" t="s">
        <v>26</v>
      </c>
      <c r="B25" s="2">
        <v>2.9220000000000001E-3</v>
      </c>
      <c r="C25" s="1">
        <v>9.8000000000000007</v>
      </c>
      <c r="D25" s="1">
        <f t="shared" si="0"/>
        <v>875.99222400000008</v>
      </c>
      <c r="E25" s="3">
        <v>9.3000000000000007</v>
      </c>
      <c r="F25" s="3">
        <f t="shared" si="1"/>
        <v>-20.656130378462475</v>
      </c>
      <c r="G25" s="1">
        <f t="shared" si="2"/>
        <v>89.386961632653069</v>
      </c>
    </row>
    <row r="26" spans="1:7" x14ac:dyDescent="0.35">
      <c r="A26" s="5" t="s">
        <v>27</v>
      </c>
      <c r="B26" s="2">
        <v>1.5410000000000001E-3</v>
      </c>
      <c r="C26" s="1">
        <v>7</v>
      </c>
      <c r="D26" s="1">
        <f t="shared" si="0"/>
        <v>461.97947200000004</v>
      </c>
      <c r="E26" s="3">
        <v>8.4</v>
      </c>
      <c r="F26" s="3">
        <f t="shared" si="1"/>
        <v>-20.825490200071286</v>
      </c>
      <c r="G26" s="1">
        <f t="shared" si="2"/>
        <v>65.997067428571441</v>
      </c>
    </row>
    <row r="27" spans="1:7" x14ac:dyDescent="0.35">
      <c r="A27" s="5" t="s">
        <v>28</v>
      </c>
      <c r="B27" s="2">
        <v>2.3280000000000002E-3</v>
      </c>
      <c r="C27" s="1">
        <v>14.1</v>
      </c>
      <c r="D27" s="1">
        <f t="shared" si="0"/>
        <v>697.91577600000005</v>
      </c>
      <c r="E27" s="3">
        <v>10</v>
      </c>
      <c r="F27" s="3">
        <f t="shared" si="1"/>
        <v>-20.746095563276899</v>
      </c>
      <c r="G27" s="1">
        <f t="shared" si="2"/>
        <v>49.49757276595745</v>
      </c>
    </row>
    <row r="28" spans="1:7" x14ac:dyDescent="0.35">
      <c r="A28" s="5" t="s">
        <v>29</v>
      </c>
      <c r="B28" s="2">
        <v>-8.1999999999999998E-4</v>
      </c>
      <c r="C28" s="1">
        <v>824</v>
      </c>
      <c r="D28" s="1">
        <f t="shared" si="0"/>
        <v>-245.82944000000001</v>
      </c>
      <c r="E28" s="3">
        <v>8.1</v>
      </c>
      <c r="F28" s="3">
        <f t="shared" si="1"/>
        <v>-31.479636058485575</v>
      </c>
      <c r="G28" s="1">
        <f t="shared" si="2"/>
        <v>-0.29833669902912624</v>
      </c>
    </row>
    <row r="29" spans="1:7" x14ac:dyDescent="0.35">
      <c r="A29" s="5" t="s">
        <v>30</v>
      </c>
      <c r="B29" s="2">
        <v>4.8700000000000002E-4</v>
      </c>
      <c r="C29" s="1">
        <v>1.98</v>
      </c>
      <c r="D29" s="1">
        <f t="shared" si="0"/>
        <v>145.998704</v>
      </c>
      <c r="E29" s="3">
        <v>8.1300000000000008</v>
      </c>
      <c r="F29" s="3">
        <f t="shared" si="1"/>
        <v>-18.353325951307653</v>
      </c>
      <c r="G29" s="1">
        <f t="shared" si="2"/>
        <v>73.736719191919192</v>
      </c>
    </row>
    <row r="30" spans="1:7" x14ac:dyDescent="0.35">
      <c r="A30" s="5" t="s">
        <v>31</v>
      </c>
      <c r="B30" s="2">
        <v>1.761E-3</v>
      </c>
      <c r="C30" s="1">
        <v>9.1199999999999992</v>
      </c>
      <c r="D30" s="1">
        <f t="shared" si="0"/>
        <v>527.93371200000001</v>
      </c>
      <c r="E30" s="3">
        <v>10.1</v>
      </c>
      <c r="F30" s="3">
        <f t="shared" si="1"/>
        <v>-19.699974191642085</v>
      </c>
      <c r="G30" s="1">
        <f t="shared" si="2"/>
        <v>57.887468421052638</v>
      </c>
    </row>
    <row r="31" spans="1:7" x14ac:dyDescent="0.35">
      <c r="A31" s="5" t="s">
        <v>32</v>
      </c>
      <c r="B31" s="2">
        <v>1.84E-2</v>
      </c>
      <c r="C31" s="1">
        <v>77</v>
      </c>
      <c r="D31" s="1">
        <f t="shared" si="0"/>
        <v>5516.1728000000003</v>
      </c>
      <c r="E31" s="3">
        <v>13.53</v>
      </c>
      <c r="F31" s="3">
        <f t="shared" si="1"/>
        <v>-20.902453625862407</v>
      </c>
      <c r="G31" s="1">
        <f t="shared" si="2"/>
        <v>71.638607792207793</v>
      </c>
    </row>
    <row r="32" spans="1:7" x14ac:dyDescent="0.35">
      <c r="A32" s="5" t="s">
        <v>33</v>
      </c>
      <c r="B32" s="2">
        <v>1.669E-2</v>
      </c>
      <c r="C32" s="1">
        <v>53.7</v>
      </c>
      <c r="D32" s="1">
        <f t="shared" si="0"/>
        <v>5003.5284799999999</v>
      </c>
      <c r="E32" s="3">
        <v>13.32</v>
      </c>
      <c r="F32" s="3">
        <f t="shared" si="1"/>
        <v>-20.329871428497782</v>
      </c>
      <c r="G32" s="1">
        <f t="shared" si="2"/>
        <v>93.175576908752319</v>
      </c>
    </row>
    <row r="33" spans="1:7" x14ac:dyDescent="0.35">
      <c r="A33" s="5" t="s">
        <v>34</v>
      </c>
      <c r="B33" s="2">
        <v>1.285E-2</v>
      </c>
      <c r="C33" s="1">
        <v>53.7</v>
      </c>
      <c r="D33" s="1">
        <f t="shared" si="0"/>
        <v>3852.3272000000002</v>
      </c>
      <c r="E33" s="3">
        <v>13.66</v>
      </c>
      <c r="F33" s="3">
        <f t="shared" si="1"/>
        <v>-19.989871428497782</v>
      </c>
      <c r="G33" s="1">
        <f t="shared" si="2"/>
        <v>71.737936685288645</v>
      </c>
    </row>
    <row r="34" spans="1:7" x14ac:dyDescent="0.35">
      <c r="A34" s="5" t="s">
        <v>35</v>
      </c>
      <c r="B34" s="2">
        <v>1.7559999999999999E-2</v>
      </c>
      <c r="C34" s="1">
        <v>68.900000000000006</v>
      </c>
      <c r="D34" s="1">
        <f t="shared" si="0"/>
        <v>5264.3475199999993</v>
      </c>
      <c r="E34" s="3">
        <v>12.48</v>
      </c>
      <c r="F34" s="3">
        <f t="shared" si="1"/>
        <v>-21.711096109538129</v>
      </c>
      <c r="G34" s="1">
        <f t="shared" si="2"/>
        <v>76.405624383163996</v>
      </c>
    </row>
    <row r="35" spans="1:7" x14ac:dyDescent="0.35">
      <c r="A35" s="5" t="s">
        <v>36</v>
      </c>
      <c r="B35" s="2">
        <v>5.9109999999999996E-3</v>
      </c>
      <c r="C35" s="1">
        <v>16.899999999999999</v>
      </c>
      <c r="D35" s="1">
        <f t="shared" si="0"/>
        <v>1772.0705119999998</v>
      </c>
      <c r="E35" s="3">
        <v>8.5299999999999994</v>
      </c>
      <c r="F35" s="3">
        <f t="shared" si="1"/>
        <v>-22.609433523068368</v>
      </c>
      <c r="G35" s="1">
        <f t="shared" si="2"/>
        <v>104.85624331360947</v>
      </c>
    </row>
    <row r="36" spans="1:7" x14ac:dyDescent="0.35">
      <c r="A36" s="5" t="s">
        <v>37</v>
      </c>
      <c r="B36" s="2">
        <v>2.7820000000000002E-3</v>
      </c>
      <c r="C36" s="1">
        <v>14.3</v>
      </c>
      <c r="D36" s="1">
        <f t="shared" si="0"/>
        <v>834.021344</v>
      </c>
      <c r="E36" s="3">
        <v>10.32</v>
      </c>
      <c r="F36" s="3">
        <f t="shared" si="1"/>
        <v>-20.456680187325308</v>
      </c>
      <c r="G36" s="1">
        <f t="shared" si="2"/>
        <v>58.323170909090905</v>
      </c>
    </row>
    <row r="37" spans="1:7" x14ac:dyDescent="0.35">
      <c r="A37" s="5" t="s">
        <v>38</v>
      </c>
      <c r="B37" s="2">
        <v>4.4640000000000001E-3</v>
      </c>
      <c r="C37" s="1">
        <v>14.5</v>
      </c>
      <c r="D37" s="1">
        <f t="shared" si="0"/>
        <v>1338.2714880000001</v>
      </c>
      <c r="E37" s="3">
        <v>9.68</v>
      </c>
      <c r="F37" s="3">
        <f t="shared" si="1"/>
        <v>-21.126840011174878</v>
      </c>
      <c r="G37" s="1">
        <f t="shared" si="2"/>
        <v>92.294585379310348</v>
      </c>
    </row>
    <row r="38" spans="1:7" x14ac:dyDescent="0.35">
      <c r="A38" s="5" t="s">
        <v>39</v>
      </c>
      <c r="B38" s="2">
        <v>2.1120000000000002E-3</v>
      </c>
      <c r="C38" s="1">
        <v>6</v>
      </c>
      <c r="D38" s="1">
        <f t="shared" si="0"/>
        <v>633.16070400000001</v>
      </c>
      <c r="E38" s="3">
        <v>12.39</v>
      </c>
      <c r="F38" s="3">
        <f t="shared" si="1"/>
        <v>-16.500756251918219</v>
      </c>
      <c r="G38" s="1">
        <f t="shared" si="2"/>
        <v>105.52678400000001</v>
      </c>
    </row>
    <row r="39" spans="1:7" x14ac:dyDescent="0.35">
      <c r="A39" s="5" t="s">
        <v>40</v>
      </c>
      <c r="B39" s="2">
        <v>3.5660000000000002E-3</v>
      </c>
      <c r="C39" s="1">
        <v>22.6</v>
      </c>
      <c r="D39" s="1">
        <f t="shared" si="0"/>
        <v>1069.058272</v>
      </c>
      <c r="E39" s="3">
        <v>10.86</v>
      </c>
      <c r="F39" s="3">
        <f t="shared" si="1"/>
        <v>-20.910542195737008</v>
      </c>
      <c r="G39" s="1">
        <f t="shared" si="2"/>
        <v>47.303463362831856</v>
      </c>
    </row>
    <row r="40" spans="1:7" x14ac:dyDescent="0.35">
      <c r="A40" s="5" t="s">
        <v>41</v>
      </c>
      <c r="B40" s="2">
        <v>2.222E-3</v>
      </c>
      <c r="C40" s="1">
        <v>13.3</v>
      </c>
      <c r="D40" s="1">
        <f t="shared" si="0"/>
        <v>666.13782400000002</v>
      </c>
      <c r="E40" s="3">
        <v>9.9</v>
      </c>
      <c r="F40" s="3">
        <f t="shared" si="1"/>
        <v>-20.719258204835427</v>
      </c>
      <c r="G40" s="1">
        <f t="shared" si="2"/>
        <v>50.085550676691732</v>
      </c>
    </row>
    <row r="41" spans="1:7" x14ac:dyDescent="0.35">
      <c r="A41" s="5" t="s">
        <v>42</v>
      </c>
      <c r="B41" s="2">
        <v>4.2300000000000003E-3</v>
      </c>
      <c r="C41" s="1">
        <v>23.4</v>
      </c>
      <c r="D41" s="1">
        <f t="shared" si="0"/>
        <v>1268.1201600000002</v>
      </c>
      <c r="E41" s="3">
        <v>13.33</v>
      </c>
      <c r="F41" s="3">
        <f t="shared" si="1"/>
        <v>-18.516079287050715</v>
      </c>
      <c r="G41" s="1">
        <f t="shared" si="2"/>
        <v>54.193169230769243</v>
      </c>
    </row>
    <row r="42" spans="1:7" x14ac:dyDescent="0.35">
      <c r="A42" s="5" t="s">
        <v>43</v>
      </c>
      <c r="B42" s="2">
        <v>3.65E-3</v>
      </c>
      <c r="C42" s="1">
        <v>23.7</v>
      </c>
      <c r="D42" s="1">
        <f t="shared" si="0"/>
        <v>1094.2408</v>
      </c>
      <c r="E42" s="3">
        <v>11.79</v>
      </c>
      <c r="F42" s="3">
        <f t="shared" si="1"/>
        <v>-20.083741730050519</v>
      </c>
      <c r="G42" s="1">
        <f t="shared" si="2"/>
        <v>46.170497890295358</v>
      </c>
    </row>
    <row r="43" spans="1:7" x14ac:dyDescent="0.35">
      <c r="A43" s="5" t="s">
        <v>44</v>
      </c>
      <c r="B43" s="2">
        <v>3.3660000000000001E-3</v>
      </c>
      <c r="C43" s="1">
        <v>22.9</v>
      </c>
      <c r="D43" s="1">
        <f t="shared" si="0"/>
        <v>1009.099872</v>
      </c>
      <c r="E43" s="3">
        <v>12.15</v>
      </c>
      <c r="F43" s="3">
        <f t="shared" si="1"/>
        <v>-19.649177411699441</v>
      </c>
      <c r="G43" s="1">
        <f t="shared" si="2"/>
        <v>44.065496593886465</v>
      </c>
    </row>
    <row r="44" spans="1:7" x14ac:dyDescent="0.35">
      <c r="A44" s="5" t="s">
        <v>45</v>
      </c>
      <c r="B44" s="2">
        <v>4.2760000000000003E-3</v>
      </c>
      <c r="C44" s="1">
        <v>31.2</v>
      </c>
      <c r="D44" s="1">
        <f t="shared" si="0"/>
        <v>1281.9105920000002</v>
      </c>
      <c r="E44" s="3">
        <v>12.4</v>
      </c>
      <c r="F44" s="3">
        <f t="shared" si="1"/>
        <v>-20.070772970092214</v>
      </c>
      <c r="G44" s="1">
        <f t="shared" si="2"/>
        <v>41.086877948717955</v>
      </c>
    </row>
    <row r="45" spans="1:7" x14ac:dyDescent="0.35">
      <c r="A45" s="5" t="s">
        <v>46</v>
      </c>
      <c r="B45" s="2">
        <v>2.3602999999999999E-2</v>
      </c>
      <c r="C45" s="1">
        <v>116</v>
      </c>
      <c r="D45" s="1">
        <f t="shared" si="0"/>
        <v>7075.9905760000001</v>
      </c>
      <c r="E45" s="3">
        <v>14.1</v>
      </c>
      <c r="F45" s="3">
        <f t="shared" si="1"/>
        <v>-21.222289946134588</v>
      </c>
      <c r="G45" s="1">
        <f t="shared" si="2"/>
        <v>60.999918758620694</v>
      </c>
    </row>
    <row r="46" spans="1:7" x14ac:dyDescent="0.35">
      <c r="A46" s="5" t="s">
        <v>47</v>
      </c>
      <c r="B46" s="2">
        <v>1.489E-2</v>
      </c>
      <c r="C46" s="1">
        <v>81.2</v>
      </c>
      <c r="D46" s="1">
        <f t="shared" si="0"/>
        <v>4463.9028800000006</v>
      </c>
      <c r="E46" s="3">
        <v>13.44</v>
      </c>
      <c r="F46" s="3">
        <f t="shared" si="1"/>
        <v>-21.107780146205876</v>
      </c>
      <c r="G46" s="1">
        <f t="shared" si="2"/>
        <v>54.974173399014781</v>
      </c>
    </row>
    <row r="47" spans="1:7" x14ac:dyDescent="0.35">
      <c r="A47" s="5" t="s">
        <v>48</v>
      </c>
      <c r="B47" s="2">
        <v>2.5221E-2</v>
      </c>
      <c r="C47" s="1">
        <v>114</v>
      </c>
      <c r="D47" s="1">
        <f t="shared" si="0"/>
        <v>7561.054032</v>
      </c>
      <c r="E47" s="3">
        <v>14.4</v>
      </c>
      <c r="F47" s="3">
        <f t="shared" si="1"/>
        <v>-20.884524256682361</v>
      </c>
      <c r="G47" s="1">
        <f t="shared" si="2"/>
        <v>66.325035368421055</v>
      </c>
    </row>
    <row r="48" spans="1:7" x14ac:dyDescent="0.35">
      <c r="A48" s="5" t="s">
        <v>49</v>
      </c>
      <c r="B48" s="2">
        <v>2.647E-2</v>
      </c>
      <c r="C48" s="1">
        <v>67.599999999999994</v>
      </c>
      <c r="D48" s="1">
        <f t="shared" si="0"/>
        <v>7935.49424</v>
      </c>
      <c r="E48" s="3">
        <v>13.24</v>
      </c>
      <c r="F48" s="3">
        <f t="shared" si="1"/>
        <v>-20.909733479708173</v>
      </c>
      <c r="G48" s="1">
        <f t="shared" si="2"/>
        <v>117.38896804733729</v>
      </c>
    </row>
    <row r="49" spans="1:7" x14ac:dyDescent="0.35">
      <c r="A49" s="5" t="s">
        <v>50</v>
      </c>
      <c r="B49" s="2">
        <v>2.2526000000000001E-2</v>
      </c>
      <c r="C49" s="1">
        <v>127</v>
      </c>
      <c r="D49" s="1">
        <f t="shared" si="0"/>
        <v>6753.1145919999999</v>
      </c>
      <c r="E49" s="3">
        <v>13.56</v>
      </c>
      <c r="F49" s="3">
        <f t="shared" si="1"/>
        <v>-21.959018604779786</v>
      </c>
      <c r="G49" s="1">
        <f t="shared" si="2"/>
        <v>53.174130645669294</v>
      </c>
    </row>
    <row r="50" spans="1:7" x14ac:dyDescent="0.35">
      <c r="A50" s="5" t="s">
        <v>51</v>
      </c>
      <c r="B50" s="2">
        <v>3.9899999999999996E-3</v>
      </c>
      <c r="C50" s="1">
        <v>16.899999999999999</v>
      </c>
      <c r="D50" s="1">
        <f t="shared" si="0"/>
        <v>1196.1700799999999</v>
      </c>
      <c r="E50" s="3">
        <v>13.6</v>
      </c>
      <c r="F50" s="3">
        <f t="shared" si="1"/>
        <v>-17.539433523068368</v>
      </c>
      <c r="G50" s="1">
        <f t="shared" si="2"/>
        <v>70.779294674556212</v>
      </c>
    </row>
    <row r="51" spans="1:7" x14ac:dyDescent="0.35">
      <c r="A51" s="5" t="s">
        <v>52</v>
      </c>
      <c r="B51" s="2">
        <v>1.0649E-2</v>
      </c>
      <c r="C51" s="1">
        <v>45</v>
      </c>
      <c r="D51" s="1">
        <f t="shared" si="0"/>
        <v>3192.4850080000001</v>
      </c>
      <c r="E51" s="3">
        <v>11.3</v>
      </c>
      <c r="F51" s="3">
        <f t="shared" si="1"/>
        <v>-21.966062568876719</v>
      </c>
      <c r="G51" s="1">
        <f t="shared" si="2"/>
        <v>70.944111288888891</v>
      </c>
    </row>
    <row r="52" spans="1:7" x14ac:dyDescent="0.35">
      <c r="A52" s="5" t="s">
        <v>53</v>
      </c>
      <c r="B52" s="2">
        <v>0.15834000000000001</v>
      </c>
      <c r="C52" s="1">
        <v>657.8</v>
      </c>
      <c r="D52" s="1">
        <f t="shared" si="0"/>
        <v>47469.065280000003</v>
      </c>
      <c r="E52" s="4" t="s">
        <v>61</v>
      </c>
      <c r="F52" s="4" t="s">
        <v>61</v>
      </c>
      <c r="G52" s="1">
        <f t="shared" si="2"/>
        <v>72.16337075098815</v>
      </c>
    </row>
    <row r="53" spans="1:7" x14ac:dyDescent="0.35">
      <c r="A53" s="5" t="s">
        <v>54</v>
      </c>
      <c r="B53" s="2">
        <v>5.2690000000000001E-2</v>
      </c>
      <c r="C53" s="1">
        <v>231.14</v>
      </c>
      <c r="D53" s="1">
        <f t="shared" si="0"/>
        <v>15796.04048</v>
      </c>
      <c r="E53" s="4" t="s">
        <v>61</v>
      </c>
      <c r="F53" s="4" t="s">
        <v>61</v>
      </c>
      <c r="G53" s="1">
        <f t="shared" si="2"/>
        <v>68.33970961322143</v>
      </c>
    </row>
    <row r="54" spans="1:7" x14ac:dyDescent="0.35">
      <c r="A54" s="5" t="s">
        <v>55</v>
      </c>
      <c r="B54" s="2">
        <v>0.10934000000000001</v>
      </c>
      <c r="C54" s="1">
        <v>440.55</v>
      </c>
      <c r="D54" s="1">
        <f t="shared" si="0"/>
        <v>32779.257280000005</v>
      </c>
      <c r="E54" s="4" t="s">
        <v>61</v>
      </c>
      <c r="F54" s="4" t="s">
        <v>61</v>
      </c>
      <c r="G54" s="1">
        <f t="shared" si="2"/>
        <v>74.405305368289646</v>
      </c>
    </row>
    <row r="55" spans="1:7" x14ac:dyDescent="0.35">
      <c r="A55" s="5" t="s">
        <v>5</v>
      </c>
      <c r="B55" s="2">
        <v>5.0360000000000002E-2</v>
      </c>
      <c r="C55" s="1">
        <v>213</v>
      </c>
      <c r="D55" s="1">
        <f t="shared" si="0"/>
        <v>15097.52512</v>
      </c>
      <c r="E55" s="4" t="s">
        <v>61</v>
      </c>
      <c r="F55" s="4" t="s">
        <v>61</v>
      </c>
      <c r="G55" s="1">
        <f t="shared" si="2"/>
        <v>70.880399624413144</v>
      </c>
    </row>
    <row r="56" spans="1:7" x14ac:dyDescent="0.35">
      <c r="A56" s="5" t="s">
        <v>56</v>
      </c>
      <c r="B56" s="2">
        <v>0.11264</v>
      </c>
      <c r="C56" s="1">
        <v>481.64</v>
      </c>
      <c r="D56" s="1">
        <f t="shared" si="0"/>
        <v>33768.570879999999</v>
      </c>
      <c r="E56" s="4" t="s">
        <v>61</v>
      </c>
      <c r="F56" s="4" t="s">
        <v>61</v>
      </c>
      <c r="G56" s="1">
        <f t="shared" si="2"/>
        <v>70.111641225811809</v>
      </c>
    </row>
    <row r="57" spans="1:7" x14ac:dyDescent="0.35">
      <c r="A57" s="5" t="s">
        <v>57</v>
      </c>
      <c r="B57" s="2">
        <v>0.17780000000000001</v>
      </c>
      <c r="C57" s="1">
        <v>736.6</v>
      </c>
      <c r="D57" s="1">
        <f t="shared" si="0"/>
        <v>53303.017600000006</v>
      </c>
      <c r="E57" s="4" t="s">
        <v>61</v>
      </c>
      <c r="F57" s="4" t="s">
        <v>61</v>
      </c>
      <c r="G57" s="1">
        <f t="shared" si="2"/>
        <v>72.363586206896557</v>
      </c>
    </row>
    <row r="58" spans="1:7" x14ac:dyDescent="0.35">
      <c r="A58" s="5" t="s">
        <v>58</v>
      </c>
      <c r="B58" s="2">
        <v>5.3999999999999999E-2</v>
      </c>
      <c r="C58" s="1">
        <v>193.41</v>
      </c>
      <c r="D58" s="1">
        <f t="shared" si="0"/>
        <v>16188.768</v>
      </c>
      <c r="E58" s="4" t="s">
        <v>61</v>
      </c>
      <c r="F58" s="4" t="s">
        <v>61</v>
      </c>
      <c r="G58" s="1">
        <f t="shared" si="2"/>
        <v>83.701814797580269</v>
      </c>
    </row>
    <row r="59" spans="1:7" x14ac:dyDescent="0.35">
      <c r="A59" s="5" t="s">
        <v>59</v>
      </c>
      <c r="B59" s="2">
        <v>5.518E-2</v>
      </c>
      <c r="C59" s="1">
        <v>197.48500000000001</v>
      </c>
      <c r="D59" s="1">
        <f t="shared" si="0"/>
        <v>16542.522560000001</v>
      </c>
      <c r="E59" s="4" t="s">
        <v>61</v>
      </c>
      <c r="F59" s="4" t="s">
        <v>61</v>
      </c>
      <c r="G59" s="1">
        <f t="shared" si="2"/>
        <v>83.765969871129457</v>
      </c>
    </row>
    <row r="60" spans="1:7" x14ac:dyDescent="0.35">
      <c r="A60" s="5" t="s">
        <v>60</v>
      </c>
      <c r="B60" s="2">
        <v>7.1139999999999995E-2</v>
      </c>
      <c r="C60" s="1">
        <v>304.79000000000002</v>
      </c>
      <c r="D60" s="1">
        <f t="shared" si="0"/>
        <v>21327.202879999997</v>
      </c>
      <c r="E60" s="4" t="s">
        <v>61</v>
      </c>
      <c r="F60" s="4" t="s">
        <v>61</v>
      </c>
      <c r="G60" s="1">
        <f t="shared" si="2"/>
        <v>69.973433774073939</v>
      </c>
    </row>
    <row r="61" spans="1:7" x14ac:dyDescent="0.35">
      <c r="F61" s="5" t="s">
        <v>64</v>
      </c>
      <c r="G61" s="1">
        <f>AVERAGE(G2:G60)</f>
        <v>73.417354415789617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657D-AD69-4F38-8975-ED52C316ED56}">
  <dimension ref="A1:G61"/>
  <sheetViews>
    <sheetView tabSelected="1" topLeftCell="A45" zoomScale="115" workbookViewId="0">
      <selection activeCell="A57" sqref="A57"/>
    </sheetView>
  </sheetViews>
  <sheetFormatPr defaultRowHeight="14.5" x14ac:dyDescent="0.35"/>
  <cols>
    <col min="2" max="2" width="9" bestFit="1" customWidth="1"/>
    <col min="3" max="3" width="8.81640625" bestFit="1" customWidth="1"/>
    <col min="4" max="4" width="10.453125" customWidth="1"/>
    <col min="5" max="7" width="8.81640625" bestFit="1" customWidth="1"/>
  </cols>
  <sheetData>
    <row r="1" spans="1:7" x14ac:dyDescent="0.35">
      <c r="A1" s="5" t="s">
        <v>2</v>
      </c>
      <c r="B1" s="5" t="s">
        <v>0</v>
      </c>
      <c r="C1" s="5" t="s">
        <v>62</v>
      </c>
      <c r="D1" s="5" t="s">
        <v>69</v>
      </c>
      <c r="E1" s="5" t="s">
        <v>65</v>
      </c>
      <c r="F1" s="5" t="s">
        <v>66</v>
      </c>
      <c r="G1" s="5" t="s">
        <v>1</v>
      </c>
    </row>
    <row r="2" spans="1:7" x14ac:dyDescent="0.35">
      <c r="A2" s="5" t="s">
        <v>3</v>
      </c>
      <c r="B2" s="2">
        <v>5.5929999999999999E-3</v>
      </c>
      <c r="C2" s="1">
        <v>27.9</v>
      </c>
      <c r="D2" s="1">
        <f>B2*299792</f>
        <v>1676.736656</v>
      </c>
      <c r="E2" s="3">
        <v>10.91</v>
      </c>
      <c r="F2" s="3">
        <f>E2-5*LOG10(C2*(10^6)/10)</f>
        <v>-21.31802101636799</v>
      </c>
      <c r="G2" s="1">
        <f>D2/C2</f>
        <v>60.098088028673843</v>
      </c>
    </row>
    <row r="3" spans="1:7" x14ac:dyDescent="0.35">
      <c r="A3" s="5" t="s">
        <v>4</v>
      </c>
      <c r="B3" s="2">
        <v>1.8259999999999999E-3</v>
      </c>
      <c r="C3" s="1">
        <v>4.9000000000000004</v>
      </c>
      <c r="D3" s="1">
        <f t="shared" ref="D3:D60" si="0">B3*299792</f>
        <v>547.42019199999993</v>
      </c>
      <c r="E3" s="3">
        <v>6.84</v>
      </c>
      <c r="F3" s="3">
        <f t="shared" ref="F3:F51" si="1">E3-5*LOG10(C3*(10^6)/10)</f>
        <v>-21.610980400142569</v>
      </c>
      <c r="G3" s="1">
        <f t="shared" ref="G3:G60" si="2">D3/C3</f>
        <v>111.71840653061223</v>
      </c>
    </row>
    <row r="4" spans="1:7" x14ac:dyDescent="0.35">
      <c r="A4" s="5" t="s">
        <v>5</v>
      </c>
      <c r="B4" s="2">
        <v>5.0360000000000002E-2</v>
      </c>
      <c r="C4" s="1">
        <v>213</v>
      </c>
      <c r="D4" s="1">
        <f t="shared" si="0"/>
        <v>15097.52512</v>
      </c>
      <c r="E4" s="3">
        <v>15.3</v>
      </c>
      <c r="F4" s="3">
        <f t="shared" si="1"/>
        <v>-21.341898017193689</v>
      </c>
      <c r="G4" s="1">
        <f t="shared" si="2"/>
        <v>70.880399624413144</v>
      </c>
    </row>
    <row r="5" spans="1:7" x14ac:dyDescent="0.35">
      <c r="A5" s="5" t="s">
        <v>6</v>
      </c>
      <c r="B5" s="2">
        <v>9.5500000000000001E-4</v>
      </c>
      <c r="C5" s="1">
        <v>1.198</v>
      </c>
      <c r="D5" s="1">
        <f t="shared" si="0"/>
        <v>286.30135999999999</v>
      </c>
      <c r="E5" s="3">
        <v>14.3</v>
      </c>
      <c r="F5" s="3">
        <f t="shared" si="1"/>
        <v>-11.092284090266464</v>
      </c>
      <c r="G5" s="1">
        <f t="shared" si="2"/>
        <v>238.98277128547579</v>
      </c>
    </row>
    <row r="6" spans="1:7" x14ac:dyDescent="0.35">
      <c r="A6" s="5" t="s">
        <v>7</v>
      </c>
      <c r="B6" s="2">
        <v>-1E-3</v>
      </c>
      <c r="C6" s="1">
        <v>778</v>
      </c>
      <c r="D6" s="1">
        <f t="shared" si="0"/>
        <v>-299.79200000000003</v>
      </c>
      <c r="E6" s="3">
        <v>3.4</v>
      </c>
      <c r="F6" s="3">
        <f t="shared" si="1"/>
        <v>-36.054897984948447</v>
      </c>
      <c r="G6" s="1">
        <f t="shared" si="2"/>
        <v>-0.38533676092544988</v>
      </c>
    </row>
    <row r="7" spans="1:7" x14ac:dyDescent="0.35">
      <c r="A7" s="5" t="s">
        <v>8</v>
      </c>
      <c r="B7" s="2">
        <v>-6.6399999999999999E-4</v>
      </c>
      <c r="C7" s="1">
        <v>763</v>
      </c>
      <c r="D7" s="1">
        <f t="shared" si="0"/>
        <v>-199.06188799999998</v>
      </c>
      <c r="E7" s="3">
        <v>8.1</v>
      </c>
      <c r="F7" s="3">
        <f t="shared" si="1"/>
        <v>-31.3126226897744</v>
      </c>
      <c r="G7" s="1">
        <f t="shared" si="2"/>
        <v>-0.26089369331585843</v>
      </c>
    </row>
    <row r="8" spans="1:7" x14ac:dyDescent="0.35">
      <c r="A8" s="5" t="s">
        <v>9</v>
      </c>
      <c r="B8" s="2">
        <v>-5.9800000000000001E-4</v>
      </c>
      <c r="C8" s="1">
        <v>835</v>
      </c>
      <c r="D8" s="1">
        <f t="shared" si="0"/>
        <v>-179.27561600000001</v>
      </c>
      <c r="E8" s="3">
        <v>5.7</v>
      </c>
      <c r="F8" s="3">
        <f t="shared" si="1"/>
        <v>-33.908432377418009</v>
      </c>
      <c r="G8" s="1">
        <f t="shared" si="2"/>
        <v>-0.21470133652694612</v>
      </c>
    </row>
    <row r="9" spans="1:7" x14ac:dyDescent="0.35">
      <c r="A9" s="5" t="s">
        <v>10</v>
      </c>
      <c r="B9" s="2">
        <v>3.339E-3</v>
      </c>
      <c r="C9" s="1">
        <v>17.7</v>
      </c>
      <c r="D9" s="1">
        <f t="shared" si="0"/>
        <v>1001.005488</v>
      </c>
      <c r="E9" s="3">
        <v>8.4</v>
      </c>
      <c r="F9" s="3">
        <f t="shared" si="1"/>
        <v>-22.839866331809034</v>
      </c>
      <c r="G9" s="1">
        <f t="shared" si="2"/>
        <v>56.553982372881357</v>
      </c>
    </row>
    <row r="10" spans="1:7" x14ac:dyDescent="0.35">
      <c r="A10" s="5" t="s">
        <v>11</v>
      </c>
      <c r="B10" s="2">
        <v>5.0470000000000003E-3</v>
      </c>
      <c r="C10" s="1">
        <v>19.100000000000001</v>
      </c>
      <c r="D10" s="1">
        <f t="shared" si="0"/>
        <v>1513.0502240000001</v>
      </c>
      <c r="E10" s="3">
        <v>9.66</v>
      </c>
      <c r="F10" s="3">
        <f t="shared" si="1"/>
        <v>-21.745166836238635</v>
      </c>
      <c r="G10" s="1">
        <f t="shared" si="2"/>
        <v>79.217289214659687</v>
      </c>
    </row>
    <row r="11" spans="1:7" x14ac:dyDescent="0.35">
      <c r="A11" s="5" t="s">
        <v>12</v>
      </c>
      <c r="B11" s="2">
        <v>3.6900000000000001E-3</v>
      </c>
      <c r="C11" s="1">
        <v>16.8</v>
      </c>
      <c r="D11" s="1">
        <f t="shared" si="0"/>
        <v>1106.2324800000001</v>
      </c>
      <c r="E11" s="3">
        <v>8.8000000000000007</v>
      </c>
      <c r="F11" s="3">
        <f t="shared" si="1"/>
        <v>-22.326546408629316</v>
      </c>
      <c r="G11" s="1">
        <f t="shared" si="2"/>
        <v>65.847171428571428</v>
      </c>
    </row>
    <row r="12" spans="1:7" x14ac:dyDescent="0.35">
      <c r="A12" s="5" t="s">
        <v>13</v>
      </c>
      <c r="B12" s="2">
        <v>5.2399999999999999E-3</v>
      </c>
      <c r="C12" s="1">
        <v>16.100000000000001</v>
      </c>
      <c r="D12" s="1">
        <f t="shared" si="0"/>
        <v>1570.9100799999999</v>
      </c>
      <c r="E12" s="3">
        <v>9.65</v>
      </c>
      <c r="F12" s="3">
        <f t="shared" si="1"/>
        <v>-21.384129380159251</v>
      </c>
      <c r="G12" s="1">
        <f t="shared" si="2"/>
        <v>97.572054658385071</v>
      </c>
    </row>
    <row r="13" spans="1:7" x14ac:dyDescent="0.35">
      <c r="A13" s="5" t="s">
        <v>14</v>
      </c>
      <c r="B13" s="2">
        <v>2.3400000000000001E-3</v>
      </c>
      <c r="C13" s="1">
        <v>11</v>
      </c>
      <c r="D13" s="1">
        <f t="shared" si="0"/>
        <v>701.51328000000001</v>
      </c>
      <c r="E13" s="3">
        <v>8.9</v>
      </c>
      <c r="F13" s="3">
        <f t="shared" si="1"/>
        <v>-21.306963425791125</v>
      </c>
      <c r="G13" s="1">
        <f t="shared" si="2"/>
        <v>63.773934545454544</v>
      </c>
    </row>
    <row r="14" spans="1:7" x14ac:dyDescent="0.35">
      <c r="A14" s="5" t="s">
        <v>15</v>
      </c>
      <c r="B14" s="2">
        <v>2.1879999999999998E-3</v>
      </c>
      <c r="C14" s="1">
        <v>9.1999999999999993</v>
      </c>
      <c r="D14" s="1">
        <f t="shared" si="0"/>
        <v>655.94489599999997</v>
      </c>
      <c r="E14" s="3">
        <v>9.4</v>
      </c>
      <c r="F14" s="3">
        <f t="shared" si="1"/>
        <v>-20.418939136727779</v>
      </c>
      <c r="G14" s="1">
        <f t="shared" si="2"/>
        <v>71.298358260869563</v>
      </c>
    </row>
    <row r="15" spans="1:7" x14ac:dyDescent="0.35">
      <c r="A15" s="5" t="s">
        <v>16</v>
      </c>
      <c r="B15" s="2">
        <v>3.81E-3</v>
      </c>
      <c r="C15" s="1">
        <v>14.4</v>
      </c>
      <c r="D15" s="1">
        <f t="shared" si="0"/>
        <v>1142.2075199999999</v>
      </c>
      <c r="E15" s="3">
        <v>8.9</v>
      </c>
      <c r="F15" s="3">
        <f t="shared" si="1"/>
        <v>-21.891812460476245</v>
      </c>
      <c r="G15" s="1">
        <f t="shared" si="2"/>
        <v>79.319966666666659</v>
      </c>
    </row>
    <row r="16" spans="1:7" x14ac:dyDescent="0.35">
      <c r="A16" s="5" t="s">
        <v>17</v>
      </c>
      <c r="B16" s="2">
        <v>3.369E-3</v>
      </c>
      <c r="C16" s="1">
        <v>18.399999999999999</v>
      </c>
      <c r="D16" s="1">
        <f t="shared" si="0"/>
        <v>1009.999248</v>
      </c>
      <c r="E16" s="3">
        <v>9.1</v>
      </c>
      <c r="F16" s="3">
        <f t="shared" si="1"/>
        <v>-22.224089115047683</v>
      </c>
      <c r="G16" s="1">
        <f t="shared" si="2"/>
        <v>54.891263478260875</v>
      </c>
    </row>
    <row r="17" spans="1:7" x14ac:dyDescent="0.35">
      <c r="A17" s="5" t="s">
        <v>18</v>
      </c>
      <c r="B17" s="2">
        <v>4.2329999999999998E-3</v>
      </c>
      <c r="C17" s="1">
        <v>18.399999999999999</v>
      </c>
      <c r="D17" s="1">
        <f t="shared" si="0"/>
        <v>1269.019536</v>
      </c>
      <c r="E17" s="3">
        <v>8.6</v>
      </c>
      <c r="F17" s="3">
        <f t="shared" si="1"/>
        <v>-22.724089115047683</v>
      </c>
      <c r="G17" s="1">
        <f t="shared" si="2"/>
        <v>68.968453043478263</v>
      </c>
    </row>
    <row r="18" spans="1:7" x14ac:dyDescent="0.35">
      <c r="A18" s="5" t="s">
        <v>19</v>
      </c>
      <c r="B18" s="2">
        <v>7.6020000000000003E-3</v>
      </c>
      <c r="C18" s="1">
        <v>14.41</v>
      </c>
      <c r="D18" s="1">
        <f t="shared" si="0"/>
        <v>2279.0187839999999</v>
      </c>
      <c r="E18" s="3">
        <v>9.6</v>
      </c>
      <c r="F18" s="3">
        <f t="shared" si="1"/>
        <v>-21.193319904069945</v>
      </c>
      <c r="G18" s="1">
        <f t="shared" si="2"/>
        <v>158.1553632199861</v>
      </c>
    </row>
    <row r="19" spans="1:7" x14ac:dyDescent="0.35">
      <c r="A19" s="5" t="s">
        <v>20</v>
      </c>
      <c r="B19" s="2">
        <v>9.6000000000000002E-4</v>
      </c>
      <c r="C19" s="1">
        <v>4.91</v>
      </c>
      <c r="D19" s="1">
        <f t="shared" si="0"/>
        <v>287.80032</v>
      </c>
      <c r="E19" s="3">
        <v>8.1999999999999993</v>
      </c>
      <c r="F19" s="3">
        <f t="shared" si="1"/>
        <v>-20.255407460614844</v>
      </c>
      <c r="G19" s="1">
        <f t="shared" si="2"/>
        <v>58.615136456211808</v>
      </c>
    </row>
    <row r="20" spans="1:7" x14ac:dyDescent="0.35">
      <c r="A20" s="5" t="s">
        <v>21</v>
      </c>
      <c r="B20" s="2">
        <v>2.5950000000000001E-3</v>
      </c>
      <c r="C20" s="1">
        <v>10</v>
      </c>
      <c r="D20" s="1">
        <f t="shared" si="0"/>
        <v>777.96024</v>
      </c>
      <c r="E20" s="3">
        <v>9.6999999999999993</v>
      </c>
      <c r="F20" s="3">
        <f t="shared" si="1"/>
        <v>-20.3</v>
      </c>
      <c r="G20" s="1">
        <f t="shared" si="2"/>
        <v>77.796024000000003</v>
      </c>
    </row>
    <row r="21" spans="1:7" x14ac:dyDescent="0.35">
      <c r="A21" s="5" t="s">
        <v>22</v>
      </c>
      <c r="B21" s="2">
        <v>3.0119999999999999E-3</v>
      </c>
      <c r="C21" s="1">
        <v>9.6</v>
      </c>
      <c r="D21" s="1">
        <f t="shared" si="0"/>
        <v>902.97350399999993</v>
      </c>
      <c r="E21" s="3">
        <v>9.3000000000000007</v>
      </c>
      <c r="F21" s="3">
        <f t="shared" si="1"/>
        <v>-20.61135616519784</v>
      </c>
      <c r="G21" s="1">
        <f t="shared" si="2"/>
        <v>94.059739999999991</v>
      </c>
    </row>
    <row r="22" spans="1:7" x14ac:dyDescent="0.35">
      <c r="A22" s="5" t="s">
        <v>23</v>
      </c>
      <c r="B22" s="2">
        <v>8.0359999999999997E-3</v>
      </c>
      <c r="C22" s="1">
        <v>15.4</v>
      </c>
      <c r="D22" s="1">
        <f t="shared" si="0"/>
        <v>2409.1285119999998</v>
      </c>
      <c r="E22" s="3">
        <v>9.9</v>
      </c>
      <c r="F22" s="3">
        <f t="shared" si="1"/>
        <v>-21.037603604182316</v>
      </c>
      <c r="G22" s="1">
        <f t="shared" si="2"/>
        <v>156.43691636363636</v>
      </c>
    </row>
    <row r="23" spans="1:7" x14ac:dyDescent="0.35">
      <c r="A23" s="5" t="s">
        <v>24</v>
      </c>
      <c r="B23" s="2">
        <v>5.2500000000000003E-3</v>
      </c>
      <c r="C23" s="1">
        <v>16.86</v>
      </c>
      <c r="D23" s="1">
        <f t="shared" si="0"/>
        <v>1573.9080000000001</v>
      </c>
      <c r="E23" s="3">
        <v>9.4</v>
      </c>
      <c r="F23" s="3">
        <f t="shared" si="1"/>
        <v>-21.734287851443618</v>
      </c>
      <c r="G23" s="1">
        <f t="shared" si="2"/>
        <v>93.351601423487551</v>
      </c>
    </row>
    <row r="24" spans="1:7" x14ac:dyDescent="0.35">
      <c r="A24" s="5" t="s">
        <v>25</v>
      </c>
      <c r="B24" s="2">
        <v>3.6419999999999998E-3</v>
      </c>
      <c r="C24" s="1">
        <v>8.98</v>
      </c>
      <c r="D24" s="1">
        <f t="shared" si="0"/>
        <v>1091.8424640000001</v>
      </c>
      <c r="E24" s="3">
        <v>8</v>
      </c>
      <c r="F24" s="3">
        <f t="shared" si="1"/>
        <v>-21.766381683336522</v>
      </c>
      <c r="G24" s="1">
        <f t="shared" si="2"/>
        <v>121.58602048997773</v>
      </c>
    </row>
    <row r="25" spans="1:7" x14ac:dyDescent="0.35">
      <c r="A25" s="5" t="s">
        <v>26</v>
      </c>
      <c r="B25" s="2">
        <v>2.9220000000000001E-3</v>
      </c>
      <c r="C25" s="1">
        <v>9.8000000000000007</v>
      </c>
      <c r="D25" s="1">
        <f t="shared" si="0"/>
        <v>875.99222400000008</v>
      </c>
      <c r="E25" s="3">
        <v>9.3000000000000007</v>
      </c>
      <c r="F25" s="3">
        <f t="shared" si="1"/>
        <v>-20.656130378462475</v>
      </c>
      <c r="G25" s="1">
        <f t="shared" si="2"/>
        <v>89.386961632653069</v>
      </c>
    </row>
    <row r="26" spans="1:7" x14ac:dyDescent="0.35">
      <c r="A26" s="5" t="s">
        <v>27</v>
      </c>
      <c r="B26" s="2">
        <v>1.5410000000000001E-3</v>
      </c>
      <c r="C26" s="1">
        <v>7</v>
      </c>
      <c r="D26" s="1">
        <f t="shared" si="0"/>
        <v>461.97947200000004</v>
      </c>
      <c r="E26" s="3">
        <v>8.4</v>
      </c>
      <c r="F26" s="3">
        <f t="shared" si="1"/>
        <v>-20.825490200071286</v>
      </c>
      <c r="G26" s="1">
        <f t="shared" si="2"/>
        <v>65.997067428571441</v>
      </c>
    </row>
    <row r="27" spans="1:7" x14ac:dyDescent="0.35">
      <c r="A27" s="5" t="s">
        <v>28</v>
      </c>
      <c r="B27" s="2">
        <v>2.3280000000000002E-3</v>
      </c>
      <c r="C27" s="1">
        <v>14.1</v>
      </c>
      <c r="D27" s="1">
        <f t="shared" si="0"/>
        <v>697.91577600000005</v>
      </c>
      <c r="E27" s="3">
        <v>10</v>
      </c>
      <c r="F27" s="3">
        <f t="shared" si="1"/>
        <v>-20.746095563276899</v>
      </c>
      <c r="G27" s="1">
        <f t="shared" si="2"/>
        <v>49.49757276595745</v>
      </c>
    </row>
    <row r="28" spans="1:7" x14ac:dyDescent="0.35">
      <c r="A28" s="5" t="s">
        <v>29</v>
      </c>
      <c r="B28" s="2">
        <v>-8.1999999999999998E-4</v>
      </c>
      <c r="C28" s="1">
        <v>824</v>
      </c>
      <c r="D28" s="1">
        <f t="shared" si="0"/>
        <v>-245.82944000000001</v>
      </c>
      <c r="E28" s="3">
        <v>8.1</v>
      </c>
      <c r="F28" s="3">
        <f t="shared" si="1"/>
        <v>-31.479636058485575</v>
      </c>
      <c r="G28" s="1">
        <f t="shared" si="2"/>
        <v>-0.29833669902912624</v>
      </c>
    </row>
    <row r="29" spans="1:7" x14ac:dyDescent="0.35">
      <c r="A29" s="5" t="s">
        <v>30</v>
      </c>
      <c r="B29" s="2">
        <v>4.8700000000000002E-4</v>
      </c>
      <c r="C29" s="1">
        <v>1.98</v>
      </c>
      <c r="D29" s="1">
        <f t="shared" si="0"/>
        <v>145.998704</v>
      </c>
      <c r="E29" s="3">
        <v>8.1300000000000008</v>
      </c>
      <c r="F29" s="3">
        <f t="shared" si="1"/>
        <v>-18.353325951307653</v>
      </c>
      <c r="G29" s="1">
        <f t="shared" si="2"/>
        <v>73.736719191919192</v>
      </c>
    </row>
    <row r="30" spans="1:7" x14ac:dyDescent="0.35">
      <c r="A30" s="5" t="s">
        <v>31</v>
      </c>
      <c r="B30" s="2">
        <v>1.761E-3</v>
      </c>
      <c r="C30" s="1">
        <v>9.1199999999999992</v>
      </c>
      <c r="D30" s="1">
        <f t="shared" si="0"/>
        <v>527.93371200000001</v>
      </c>
      <c r="E30" s="3">
        <v>10.1</v>
      </c>
      <c r="F30" s="3">
        <f t="shared" si="1"/>
        <v>-19.699974191642085</v>
      </c>
      <c r="G30" s="1">
        <f t="shared" si="2"/>
        <v>57.887468421052638</v>
      </c>
    </row>
    <row r="31" spans="1:7" x14ac:dyDescent="0.35">
      <c r="A31" s="5" t="s">
        <v>32</v>
      </c>
      <c r="B31" s="2">
        <v>1.84E-2</v>
      </c>
      <c r="C31" s="1">
        <v>77</v>
      </c>
      <c r="D31" s="1">
        <f t="shared" si="0"/>
        <v>5516.1728000000003</v>
      </c>
      <c r="E31" s="3">
        <v>13.53</v>
      </c>
      <c r="F31" s="3">
        <f t="shared" si="1"/>
        <v>-20.902453625862407</v>
      </c>
      <c r="G31" s="1">
        <f t="shared" si="2"/>
        <v>71.638607792207793</v>
      </c>
    </row>
    <row r="32" spans="1:7" x14ac:dyDescent="0.35">
      <c r="A32" s="5" t="s">
        <v>33</v>
      </c>
      <c r="B32" s="2">
        <v>1.669E-2</v>
      </c>
      <c r="C32" s="1">
        <v>53.7</v>
      </c>
      <c r="D32" s="1">
        <f t="shared" si="0"/>
        <v>5003.5284799999999</v>
      </c>
      <c r="E32" s="3">
        <v>13.32</v>
      </c>
      <c r="F32" s="3">
        <f t="shared" si="1"/>
        <v>-20.329871428497782</v>
      </c>
      <c r="G32" s="1">
        <f t="shared" si="2"/>
        <v>93.175576908752319</v>
      </c>
    </row>
    <row r="33" spans="1:7" x14ac:dyDescent="0.35">
      <c r="A33" s="5" t="s">
        <v>34</v>
      </c>
      <c r="B33" s="2">
        <v>1.285E-2</v>
      </c>
      <c r="C33" s="1">
        <v>53.7</v>
      </c>
      <c r="D33" s="1">
        <f t="shared" si="0"/>
        <v>3852.3272000000002</v>
      </c>
      <c r="E33" s="3">
        <v>13.66</v>
      </c>
      <c r="F33" s="3">
        <f t="shared" si="1"/>
        <v>-19.989871428497782</v>
      </c>
      <c r="G33" s="1">
        <f t="shared" si="2"/>
        <v>71.737936685288645</v>
      </c>
    </row>
    <row r="34" spans="1:7" x14ac:dyDescent="0.35">
      <c r="A34" s="5" t="s">
        <v>35</v>
      </c>
      <c r="B34" s="2">
        <v>1.7559999999999999E-2</v>
      </c>
      <c r="C34" s="1">
        <v>68.900000000000006</v>
      </c>
      <c r="D34" s="1">
        <f t="shared" si="0"/>
        <v>5264.3475199999993</v>
      </c>
      <c r="E34" s="3">
        <v>12.48</v>
      </c>
      <c r="F34" s="3">
        <f t="shared" si="1"/>
        <v>-21.711096109538129</v>
      </c>
      <c r="G34" s="1">
        <f t="shared" si="2"/>
        <v>76.405624383163996</v>
      </c>
    </row>
    <row r="35" spans="1:7" x14ac:dyDescent="0.35">
      <c r="A35" s="5" t="s">
        <v>36</v>
      </c>
      <c r="B35" s="2">
        <v>5.9109999999999996E-3</v>
      </c>
      <c r="C35" s="1">
        <v>16.899999999999999</v>
      </c>
      <c r="D35" s="1">
        <f t="shared" si="0"/>
        <v>1772.0705119999998</v>
      </c>
      <c r="E35" s="3">
        <v>8.5299999999999994</v>
      </c>
      <c r="F35" s="3">
        <f t="shared" si="1"/>
        <v>-22.609433523068368</v>
      </c>
      <c r="G35" s="1">
        <f t="shared" si="2"/>
        <v>104.85624331360947</v>
      </c>
    </row>
    <row r="36" spans="1:7" x14ac:dyDescent="0.35">
      <c r="A36" s="5" t="s">
        <v>37</v>
      </c>
      <c r="B36" s="2">
        <v>2.7820000000000002E-3</v>
      </c>
      <c r="C36" s="1">
        <v>14.3</v>
      </c>
      <c r="D36" s="1">
        <f t="shared" si="0"/>
        <v>834.021344</v>
      </c>
      <c r="E36" s="3">
        <v>10.32</v>
      </c>
      <c r="F36" s="3">
        <f t="shared" si="1"/>
        <v>-20.456680187325308</v>
      </c>
      <c r="G36" s="1">
        <f t="shared" si="2"/>
        <v>58.323170909090905</v>
      </c>
    </row>
    <row r="37" spans="1:7" x14ac:dyDescent="0.35">
      <c r="A37" s="5" t="s">
        <v>38</v>
      </c>
      <c r="B37" s="2">
        <v>4.4640000000000001E-3</v>
      </c>
      <c r="C37" s="1">
        <v>14.5</v>
      </c>
      <c r="D37" s="1">
        <f t="shared" si="0"/>
        <v>1338.2714880000001</v>
      </c>
      <c r="E37" s="3">
        <v>9.68</v>
      </c>
      <c r="F37" s="3">
        <f t="shared" si="1"/>
        <v>-21.126840011174878</v>
      </c>
      <c r="G37" s="1">
        <f t="shared" si="2"/>
        <v>92.294585379310348</v>
      </c>
    </row>
    <row r="38" spans="1:7" x14ac:dyDescent="0.35">
      <c r="A38" s="5" t="s">
        <v>39</v>
      </c>
      <c r="B38" s="2">
        <v>2.1120000000000002E-3</v>
      </c>
      <c r="C38" s="1">
        <v>6</v>
      </c>
      <c r="D38" s="1">
        <f t="shared" si="0"/>
        <v>633.16070400000001</v>
      </c>
      <c r="E38" s="3">
        <v>12.39</v>
      </c>
      <c r="F38" s="3">
        <f t="shared" si="1"/>
        <v>-16.500756251918219</v>
      </c>
      <c r="G38" s="1">
        <f t="shared" si="2"/>
        <v>105.52678400000001</v>
      </c>
    </row>
    <row r="39" spans="1:7" x14ac:dyDescent="0.35">
      <c r="A39" s="5" t="s">
        <v>40</v>
      </c>
      <c r="B39" s="2">
        <v>3.5660000000000002E-3</v>
      </c>
      <c r="C39" s="1">
        <v>22.6</v>
      </c>
      <c r="D39" s="1">
        <f t="shared" si="0"/>
        <v>1069.058272</v>
      </c>
      <c r="E39" s="3">
        <v>10.86</v>
      </c>
      <c r="F39" s="3">
        <f t="shared" si="1"/>
        <v>-20.910542195737008</v>
      </c>
      <c r="G39" s="1">
        <f t="shared" si="2"/>
        <v>47.303463362831856</v>
      </c>
    </row>
    <row r="40" spans="1:7" x14ac:dyDescent="0.35">
      <c r="A40" s="5" t="s">
        <v>41</v>
      </c>
      <c r="B40" s="2">
        <v>2.222E-3</v>
      </c>
      <c r="C40" s="1">
        <v>13.3</v>
      </c>
      <c r="D40" s="1">
        <f t="shared" si="0"/>
        <v>666.13782400000002</v>
      </c>
      <c r="E40" s="3">
        <v>9.9</v>
      </c>
      <c r="F40" s="3">
        <f t="shared" si="1"/>
        <v>-20.719258204835427</v>
      </c>
      <c r="G40" s="1">
        <f t="shared" si="2"/>
        <v>50.085550676691732</v>
      </c>
    </row>
    <row r="41" spans="1:7" x14ac:dyDescent="0.35">
      <c r="A41" s="5" t="s">
        <v>42</v>
      </c>
      <c r="B41" s="2">
        <v>4.2300000000000003E-3</v>
      </c>
      <c r="C41" s="1">
        <v>23.4</v>
      </c>
      <c r="D41" s="1">
        <f t="shared" si="0"/>
        <v>1268.1201600000002</v>
      </c>
      <c r="E41" s="3">
        <v>13.33</v>
      </c>
      <c r="F41" s="3">
        <f t="shared" si="1"/>
        <v>-18.516079287050715</v>
      </c>
      <c r="G41" s="1">
        <f t="shared" si="2"/>
        <v>54.193169230769243</v>
      </c>
    </row>
    <row r="42" spans="1:7" x14ac:dyDescent="0.35">
      <c r="A42" s="5" t="s">
        <v>43</v>
      </c>
      <c r="B42" s="2">
        <v>3.65E-3</v>
      </c>
      <c r="C42" s="1">
        <v>23.7</v>
      </c>
      <c r="D42" s="1">
        <f t="shared" si="0"/>
        <v>1094.2408</v>
      </c>
      <c r="E42" s="3">
        <v>11.79</v>
      </c>
      <c r="F42" s="3">
        <f t="shared" si="1"/>
        <v>-20.083741730050519</v>
      </c>
      <c r="G42" s="1">
        <f t="shared" si="2"/>
        <v>46.170497890295358</v>
      </c>
    </row>
    <row r="43" spans="1:7" x14ac:dyDescent="0.35">
      <c r="A43" s="5" t="s">
        <v>44</v>
      </c>
      <c r="B43" s="2">
        <v>3.3660000000000001E-3</v>
      </c>
      <c r="C43" s="1">
        <v>22.9</v>
      </c>
      <c r="D43" s="1">
        <f t="shared" si="0"/>
        <v>1009.099872</v>
      </c>
      <c r="E43" s="3">
        <v>12.15</v>
      </c>
      <c r="F43" s="3">
        <f t="shared" si="1"/>
        <v>-19.649177411699441</v>
      </c>
      <c r="G43" s="1">
        <f t="shared" si="2"/>
        <v>44.065496593886465</v>
      </c>
    </row>
    <row r="44" spans="1:7" x14ac:dyDescent="0.35">
      <c r="A44" s="5" t="s">
        <v>45</v>
      </c>
      <c r="B44" s="2">
        <v>4.2760000000000003E-3</v>
      </c>
      <c r="C44" s="1">
        <v>31.2</v>
      </c>
      <c r="D44" s="1">
        <f t="shared" si="0"/>
        <v>1281.9105920000002</v>
      </c>
      <c r="E44" s="3">
        <v>12.4</v>
      </c>
      <c r="F44" s="3">
        <f t="shared" si="1"/>
        <v>-20.070772970092214</v>
      </c>
      <c r="G44" s="1">
        <f t="shared" si="2"/>
        <v>41.086877948717955</v>
      </c>
    </row>
    <row r="45" spans="1:7" x14ac:dyDescent="0.35">
      <c r="A45" s="5" t="s">
        <v>46</v>
      </c>
      <c r="B45" s="2">
        <v>2.3602999999999999E-2</v>
      </c>
      <c r="C45" s="1">
        <v>116</v>
      </c>
      <c r="D45" s="1">
        <f t="shared" si="0"/>
        <v>7075.9905760000001</v>
      </c>
      <c r="E45" s="3">
        <v>14.1</v>
      </c>
      <c r="F45" s="3">
        <f t="shared" si="1"/>
        <v>-21.222289946134588</v>
      </c>
      <c r="G45" s="1">
        <f t="shared" si="2"/>
        <v>60.999918758620694</v>
      </c>
    </row>
    <row r="46" spans="1:7" x14ac:dyDescent="0.35">
      <c r="A46" s="5" t="s">
        <v>47</v>
      </c>
      <c r="B46" s="2">
        <v>1.489E-2</v>
      </c>
      <c r="C46" s="1">
        <v>81.2</v>
      </c>
      <c r="D46" s="1">
        <f t="shared" si="0"/>
        <v>4463.9028800000006</v>
      </c>
      <c r="E46" s="3">
        <v>13.44</v>
      </c>
      <c r="F46" s="3">
        <f t="shared" si="1"/>
        <v>-21.107780146205876</v>
      </c>
      <c r="G46" s="1">
        <f t="shared" si="2"/>
        <v>54.974173399014781</v>
      </c>
    </row>
    <row r="47" spans="1:7" x14ac:dyDescent="0.35">
      <c r="A47" s="5" t="s">
        <v>48</v>
      </c>
      <c r="B47" s="2">
        <v>2.5221E-2</v>
      </c>
      <c r="C47" s="1">
        <v>114</v>
      </c>
      <c r="D47" s="1">
        <f t="shared" si="0"/>
        <v>7561.054032</v>
      </c>
      <c r="E47" s="3">
        <v>14.4</v>
      </c>
      <c r="F47" s="3">
        <f t="shared" si="1"/>
        <v>-20.884524256682361</v>
      </c>
      <c r="G47" s="1">
        <f t="shared" si="2"/>
        <v>66.325035368421055</v>
      </c>
    </row>
    <row r="48" spans="1:7" x14ac:dyDescent="0.35">
      <c r="A48" s="5" t="s">
        <v>49</v>
      </c>
      <c r="B48" s="2">
        <v>2.647E-2</v>
      </c>
      <c r="C48" s="1">
        <v>67.599999999999994</v>
      </c>
      <c r="D48" s="1">
        <f t="shared" si="0"/>
        <v>7935.49424</v>
      </c>
      <c r="E48" s="3">
        <v>13.24</v>
      </c>
      <c r="F48" s="3">
        <f t="shared" si="1"/>
        <v>-20.909733479708173</v>
      </c>
      <c r="G48" s="1">
        <f t="shared" si="2"/>
        <v>117.38896804733729</v>
      </c>
    </row>
    <row r="49" spans="1:7" x14ac:dyDescent="0.35">
      <c r="A49" s="5" t="s">
        <v>50</v>
      </c>
      <c r="B49" s="2">
        <v>2.2526000000000001E-2</v>
      </c>
      <c r="C49" s="1">
        <v>127</v>
      </c>
      <c r="D49" s="1">
        <f t="shared" si="0"/>
        <v>6753.1145919999999</v>
      </c>
      <c r="E49" s="3">
        <v>13.56</v>
      </c>
      <c r="F49" s="3">
        <f t="shared" si="1"/>
        <v>-21.959018604779786</v>
      </c>
      <c r="G49" s="1">
        <f t="shared" si="2"/>
        <v>53.174130645669294</v>
      </c>
    </row>
    <row r="50" spans="1:7" x14ac:dyDescent="0.35">
      <c r="A50" s="5" t="s">
        <v>51</v>
      </c>
      <c r="B50" s="2">
        <v>3.9899999999999996E-3</v>
      </c>
      <c r="C50" s="1">
        <v>16.899999999999999</v>
      </c>
      <c r="D50" s="1">
        <f t="shared" si="0"/>
        <v>1196.1700799999999</v>
      </c>
      <c r="E50" s="3">
        <v>13.6</v>
      </c>
      <c r="F50" s="3">
        <f t="shared" si="1"/>
        <v>-17.539433523068368</v>
      </c>
      <c r="G50" s="1">
        <f t="shared" si="2"/>
        <v>70.779294674556212</v>
      </c>
    </row>
    <row r="51" spans="1:7" x14ac:dyDescent="0.35">
      <c r="A51" s="5" t="s">
        <v>52</v>
      </c>
      <c r="B51" s="2">
        <v>1.0649E-2</v>
      </c>
      <c r="C51" s="1">
        <v>45</v>
      </c>
      <c r="D51" s="1">
        <f t="shared" si="0"/>
        <v>3192.4850080000001</v>
      </c>
      <c r="E51" s="3">
        <v>11.3</v>
      </c>
      <c r="F51" s="3">
        <f t="shared" si="1"/>
        <v>-21.966062568876719</v>
      </c>
      <c r="G51" s="1">
        <f t="shared" si="2"/>
        <v>70.944111288888891</v>
      </c>
    </row>
    <row r="52" spans="1:7" x14ac:dyDescent="0.35">
      <c r="A52" s="5" t="s">
        <v>76</v>
      </c>
      <c r="B52" s="2">
        <v>0.15834000000000001</v>
      </c>
      <c r="C52" s="1">
        <v>657.8</v>
      </c>
      <c r="D52" s="1">
        <f t="shared" si="0"/>
        <v>47469.065280000003</v>
      </c>
      <c r="E52" s="4" t="s">
        <v>61</v>
      </c>
      <c r="F52" s="4" t="s">
        <v>61</v>
      </c>
      <c r="G52" s="1">
        <f t="shared" si="2"/>
        <v>72.16337075098815</v>
      </c>
    </row>
    <row r="53" spans="1:7" x14ac:dyDescent="0.35">
      <c r="A53" s="5" t="s">
        <v>75</v>
      </c>
      <c r="B53" s="2">
        <v>5.2690000000000001E-2</v>
      </c>
      <c r="C53" s="1">
        <v>231.14</v>
      </c>
      <c r="D53" s="1">
        <f t="shared" si="0"/>
        <v>15796.04048</v>
      </c>
      <c r="E53" s="4" t="s">
        <v>61</v>
      </c>
      <c r="F53" s="4" t="s">
        <v>61</v>
      </c>
      <c r="G53" s="1">
        <f t="shared" si="2"/>
        <v>68.33970961322143</v>
      </c>
    </row>
    <row r="54" spans="1:7" x14ac:dyDescent="0.35">
      <c r="A54" s="5" t="s">
        <v>74</v>
      </c>
      <c r="B54" s="2">
        <v>0.10934000000000001</v>
      </c>
      <c r="C54" s="1">
        <v>440.55</v>
      </c>
      <c r="D54" s="1">
        <f t="shared" si="0"/>
        <v>32779.257280000005</v>
      </c>
      <c r="E54" s="4" t="s">
        <v>61</v>
      </c>
      <c r="F54" s="4" t="s">
        <v>61</v>
      </c>
      <c r="G54" s="1">
        <f t="shared" si="2"/>
        <v>74.405305368289646</v>
      </c>
    </row>
    <row r="55" spans="1:7" x14ac:dyDescent="0.35">
      <c r="A55" s="5" t="s">
        <v>5</v>
      </c>
      <c r="B55" s="2">
        <v>5.0360000000000002E-2</v>
      </c>
      <c r="C55" s="1">
        <v>213</v>
      </c>
      <c r="D55" s="1">
        <f t="shared" si="0"/>
        <v>15097.52512</v>
      </c>
      <c r="E55" s="4" t="s">
        <v>61</v>
      </c>
      <c r="F55" s="4" t="s">
        <v>61</v>
      </c>
      <c r="G55" s="1">
        <f t="shared" si="2"/>
        <v>70.880399624413144</v>
      </c>
    </row>
    <row r="56" spans="1:7" x14ac:dyDescent="0.35">
      <c r="A56" s="5" t="s">
        <v>56</v>
      </c>
      <c r="B56" s="2">
        <v>0.11264</v>
      </c>
      <c r="C56" s="1">
        <v>481.64</v>
      </c>
      <c r="D56" s="1">
        <f t="shared" si="0"/>
        <v>33768.570879999999</v>
      </c>
      <c r="E56" s="4" t="s">
        <v>61</v>
      </c>
      <c r="F56" s="4" t="s">
        <v>61</v>
      </c>
      <c r="G56" s="1">
        <f t="shared" si="2"/>
        <v>70.111641225811809</v>
      </c>
    </row>
    <row r="57" spans="1:7" x14ac:dyDescent="0.35">
      <c r="A57" s="5" t="s">
        <v>70</v>
      </c>
      <c r="B57" s="2">
        <v>0.17780000000000001</v>
      </c>
      <c r="C57" s="1">
        <v>736.6</v>
      </c>
      <c r="D57" s="1">
        <f t="shared" si="0"/>
        <v>53303.017600000006</v>
      </c>
      <c r="E57" s="4" t="s">
        <v>61</v>
      </c>
      <c r="F57" s="4" t="s">
        <v>61</v>
      </c>
      <c r="G57" s="1">
        <f t="shared" si="2"/>
        <v>72.363586206896557</v>
      </c>
    </row>
    <row r="58" spans="1:7" x14ac:dyDescent="0.35">
      <c r="A58" s="5" t="s">
        <v>71</v>
      </c>
      <c r="B58" s="2">
        <v>5.3999999999999999E-2</v>
      </c>
      <c r="C58" s="1">
        <v>193.41</v>
      </c>
      <c r="D58" s="1">
        <f t="shared" si="0"/>
        <v>16188.768</v>
      </c>
      <c r="E58" s="4" t="s">
        <v>61</v>
      </c>
      <c r="F58" s="4" t="s">
        <v>61</v>
      </c>
      <c r="G58" s="1">
        <f t="shared" si="2"/>
        <v>83.701814797580269</v>
      </c>
    </row>
    <row r="59" spans="1:7" x14ac:dyDescent="0.35">
      <c r="A59" s="5" t="s">
        <v>72</v>
      </c>
      <c r="B59" s="2">
        <v>5.518E-2</v>
      </c>
      <c r="C59" s="1">
        <v>197.48500000000001</v>
      </c>
      <c r="D59" s="1">
        <f t="shared" si="0"/>
        <v>16542.522560000001</v>
      </c>
      <c r="E59" s="4" t="s">
        <v>61</v>
      </c>
      <c r="F59" s="4" t="s">
        <v>61</v>
      </c>
      <c r="G59" s="1">
        <f t="shared" si="2"/>
        <v>83.765969871129457</v>
      </c>
    </row>
    <row r="60" spans="1:7" x14ac:dyDescent="0.35">
      <c r="A60" s="5" t="s">
        <v>73</v>
      </c>
      <c r="B60" s="2">
        <v>7.1139999999999995E-2</v>
      </c>
      <c r="C60" s="1">
        <v>304.79000000000002</v>
      </c>
      <c r="D60" s="1">
        <f t="shared" si="0"/>
        <v>21327.202879999997</v>
      </c>
      <c r="E60" s="4" t="s">
        <v>61</v>
      </c>
      <c r="F60" s="4" t="s">
        <v>61</v>
      </c>
      <c r="G60" s="1">
        <f t="shared" si="2"/>
        <v>69.973433774073939</v>
      </c>
    </row>
    <row r="61" spans="1:7" x14ac:dyDescent="0.35">
      <c r="B61" s="2">
        <f>MAX(B2:B60)</f>
        <v>0.17780000000000001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9860-554E-4B45-AA78-FD9899EC0412}">
  <dimension ref="A1:N31"/>
  <sheetViews>
    <sheetView zoomScale="61" zoomScaleNormal="83" workbookViewId="0">
      <selection activeCell="L34" sqref="L34"/>
    </sheetView>
  </sheetViews>
  <sheetFormatPr defaultRowHeight="14.5" x14ac:dyDescent="0.35"/>
  <cols>
    <col min="1" max="1" width="8.7265625" style="5"/>
    <col min="8" max="8" width="12.90625" customWidth="1"/>
  </cols>
  <sheetData>
    <row r="1" spans="1:14" s="5" customFormat="1" x14ac:dyDescent="0.35">
      <c r="A1" s="8" t="s">
        <v>2</v>
      </c>
      <c r="B1" s="8" t="s">
        <v>0</v>
      </c>
      <c r="C1" s="8" t="s">
        <v>62</v>
      </c>
      <c r="D1" s="8" t="s">
        <v>63</v>
      </c>
      <c r="E1" s="8" t="s">
        <v>65</v>
      </c>
      <c r="F1" s="8" t="s">
        <v>66</v>
      </c>
      <c r="G1" s="10" t="s">
        <v>1</v>
      </c>
      <c r="H1" s="12" t="s">
        <v>2</v>
      </c>
      <c r="I1" s="8" t="s">
        <v>0</v>
      </c>
      <c r="J1" s="8" t="s">
        <v>62</v>
      </c>
      <c r="K1" s="8" t="s">
        <v>63</v>
      </c>
      <c r="L1" s="8" t="s">
        <v>65</v>
      </c>
      <c r="M1" s="8" t="s">
        <v>66</v>
      </c>
      <c r="N1" s="8" t="s">
        <v>1</v>
      </c>
    </row>
    <row r="2" spans="1:14" x14ac:dyDescent="0.35">
      <c r="A2" s="8" t="s">
        <v>3</v>
      </c>
      <c r="B2" s="9">
        <v>5.5929999999999999E-3</v>
      </c>
      <c r="C2" s="9">
        <v>27.9</v>
      </c>
      <c r="D2" s="9">
        <v>1676.736656</v>
      </c>
      <c r="E2" s="9">
        <v>10.91</v>
      </c>
      <c r="F2" s="9">
        <v>-21.31802101636799</v>
      </c>
      <c r="G2" s="11">
        <v>60.098088028673843</v>
      </c>
      <c r="H2" s="12" t="s">
        <v>33</v>
      </c>
      <c r="I2" s="9">
        <v>1.669E-2</v>
      </c>
      <c r="J2" s="9">
        <v>53.7</v>
      </c>
      <c r="K2" s="9">
        <v>5003.5284799999999</v>
      </c>
      <c r="L2" s="9">
        <v>13.32</v>
      </c>
      <c r="M2" s="9">
        <v>-20.329871428497782</v>
      </c>
      <c r="N2" s="9">
        <v>93.175576908752319</v>
      </c>
    </row>
    <row r="3" spans="1:14" x14ac:dyDescent="0.35">
      <c r="A3" s="8" t="s">
        <v>4</v>
      </c>
      <c r="B3" s="9">
        <v>1.8259999999999999E-3</v>
      </c>
      <c r="C3" s="9">
        <v>4.9000000000000004</v>
      </c>
      <c r="D3" s="9">
        <v>547.42019199999993</v>
      </c>
      <c r="E3" s="9">
        <v>6.84</v>
      </c>
      <c r="F3" s="9">
        <v>-21.610980400142569</v>
      </c>
      <c r="G3" s="11">
        <v>111.71840653061223</v>
      </c>
      <c r="H3" s="12" t="s">
        <v>34</v>
      </c>
      <c r="I3" s="9">
        <v>1.285E-2</v>
      </c>
      <c r="J3" s="9">
        <v>53.7</v>
      </c>
      <c r="K3" s="9">
        <v>3852.3272000000002</v>
      </c>
      <c r="L3" s="9">
        <v>13.66</v>
      </c>
      <c r="M3" s="9">
        <v>-19.989871428497782</v>
      </c>
      <c r="N3" s="9">
        <v>71.737936685288645</v>
      </c>
    </row>
    <row r="4" spans="1:14" x14ac:dyDescent="0.35">
      <c r="A4" s="8" t="s">
        <v>5</v>
      </c>
      <c r="B4" s="9">
        <v>5.0360000000000002E-2</v>
      </c>
      <c r="C4" s="9">
        <v>213</v>
      </c>
      <c r="D4" s="9">
        <v>15097.52512</v>
      </c>
      <c r="E4" s="9">
        <v>15.3</v>
      </c>
      <c r="F4" s="9">
        <v>-21.341898017193689</v>
      </c>
      <c r="G4" s="11">
        <v>70.880399624413144</v>
      </c>
      <c r="H4" s="12" t="s">
        <v>35</v>
      </c>
      <c r="I4" s="9">
        <v>1.7559999999999999E-2</v>
      </c>
      <c r="J4" s="9">
        <v>68.900000000000006</v>
      </c>
      <c r="K4" s="9">
        <v>5264.3475199999993</v>
      </c>
      <c r="L4" s="9">
        <v>12.48</v>
      </c>
      <c r="M4" s="9">
        <v>-21.711096109538129</v>
      </c>
      <c r="N4" s="9">
        <v>76.405624383163996</v>
      </c>
    </row>
    <row r="5" spans="1:14" x14ac:dyDescent="0.35">
      <c r="A5" s="8" t="s">
        <v>6</v>
      </c>
      <c r="B5" s="9">
        <v>9.5500000000000001E-4</v>
      </c>
      <c r="C5" s="9">
        <v>1.198</v>
      </c>
      <c r="D5" s="9">
        <v>286.30135999999999</v>
      </c>
      <c r="E5" s="9">
        <v>14.3</v>
      </c>
      <c r="F5" s="9">
        <v>-11.092284090266464</v>
      </c>
      <c r="G5" s="11">
        <v>238.98277128547579</v>
      </c>
      <c r="H5" s="12" t="s">
        <v>36</v>
      </c>
      <c r="I5" s="9">
        <v>5.9109999999999996E-3</v>
      </c>
      <c r="J5" s="9">
        <v>16.899999999999999</v>
      </c>
      <c r="K5" s="9">
        <v>1772.0705119999998</v>
      </c>
      <c r="L5" s="9">
        <v>8.5299999999999994</v>
      </c>
      <c r="M5" s="9">
        <v>-22.609433523068368</v>
      </c>
      <c r="N5" s="9">
        <v>104.85624331360947</v>
      </c>
    </row>
    <row r="6" spans="1:14" x14ac:dyDescent="0.35">
      <c r="A6" s="8" t="s">
        <v>7</v>
      </c>
      <c r="B6" s="9">
        <v>-1E-3</v>
      </c>
      <c r="C6" s="9">
        <v>778</v>
      </c>
      <c r="D6" s="9">
        <v>-299.79200000000003</v>
      </c>
      <c r="E6" s="9">
        <v>3.4</v>
      </c>
      <c r="F6" s="9">
        <v>-36.054897984948447</v>
      </c>
      <c r="G6" s="11">
        <v>-0.38533676092544988</v>
      </c>
      <c r="H6" s="12" t="s">
        <v>37</v>
      </c>
      <c r="I6" s="9">
        <v>2.7820000000000002E-3</v>
      </c>
      <c r="J6" s="9">
        <v>14.3</v>
      </c>
      <c r="K6" s="9">
        <v>834.021344</v>
      </c>
      <c r="L6" s="9">
        <v>10.32</v>
      </c>
      <c r="M6" s="9">
        <v>-20.456680187325308</v>
      </c>
      <c r="N6" s="9">
        <v>58.323170909090905</v>
      </c>
    </row>
    <row r="7" spans="1:14" x14ac:dyDescent="0.35">
      <c r="A7" s="8" t="s">
        <v>8</v>
      </c>
      <c r="B7" s="9">
        <v>-6.6399999999999999E-4</v>
      </c>
      <c r="C7" s="9">
        <v>763</v>
      </c>
      <c r="D7" s="9">
        <v>-199.06188799999998</v>
      </c>
      <c r="E7" s="9">
        <v>8.1</v>
      </c>
      <c r="F7" s="9">
        <v>-31.3126226897744</v>
      </c>
      <c r="G7" s="11">
        <v>-0.26089369331585843</v>
      </c>
      <c r="H7" s="12" t="s">
        <v>38</v>
      </c>
      <c r="I7" s="9">
        <v>4.4640000000000001E-3</v>
      </c>
      <c r="J7" s="9">
        <v>14.5</v>
      </c>
      <c r="K7" s="9">
        <v>1338.2714880000001</v>
      </c>
      <c r="L7" s="9">
        <v>9.68</v>
      </c>
      <c r="M7" s="9">
        <v>-21.126840011174878</v>
      </c>
      <c r="N7" s="9">
        <v>92.294585379310348</v>
      </c>
    </row>
    <row r="8" spans="1:14" x14ac:dyDescent="0.35">
      <c r="A8" s="8" t="s">
        <v>9</v>
      </c>
      <c r="B8" s="9">
        <v>-5.9800000000000001E-4</v>
      </c>
      <c r="C8" s="9">
        <v>835</v>
      </c>
      <c r="D8" s="9">
        <v>-179.27561600000001</v>
      </c>
      <c r="E8" s="9">
        <v>5.7</v>
      </c>
      <c r="F8" s="9">
        <v>-33.908432377418009</v>
      </c>
      <c r="G8" s="11">
        <v>-0.21470133652694612</v>
      </c>
      <c r="H8" s="12" t="s">
        <v>39</v>
      </c>
      <c r="I8" s="9">
        <v>2.1120000000000002E-3</v>
      </c>
      <c r="J8" s="9">
        <v>6</v>
      </c>
      <c r="K8" s="9">
        <v>633.16070400000001</v>
      </c>
      <c r="L8" s="9">
        <v>12.39</v>
      </c>
      <c r="M8" s="9">
        <v>-16.500756251918219</v>
      </c>
      <c r="N8" s="9">
        <v>105.52678400000001</v>
      </c>
    </row>
    <row r="9" spans="1:14" x14ac:dyDescent="0.35">
      <c r="A9" s="8" t="s">
        <v>10</v>
      </c>
      <c r="B9" s="9">
        <v>3.339E-3</v>
      </c>
      <c r="C9" s="9">
        <v>17.7</v>
      </c>
      <c r="D9" s="9">
        <v>1001.005488</v>
      </c>
      <c r="E9" s="9">
        <v>8.4</v>
      </c>
      <c r="F9" s="9">
        <v>-22.839866331809034</v>
      </c>
      <c r="G9" s="11">
        <v>56.553982372881357</v>
      </c>
      <c r="H9" s="12" t="s">
        <v>40</v>
      </c>
      <c r="I9" s="9">
        <v>3.5660000000000002E-3</v>
      </c>
      <c r="J9" s="9">
        <v>22.6</v>
      </c>
      <c r="K9" s="9">
        <v>1069.058272</v>
      </c>
      <c r="L9" s="9">
        <v>10.86</v>
      </c>
      <c r="M9" s="9">
        <v>-20.910542195737008</v>
      </c>
      <c r="N9" s="9">
        <v>47.303463362831856</v>
      </c>
    </row>
    <row r="10" spans="1:14" x14ac:dyDescent="0.35">
      <c r="A10" s="8" t="s">
        <v>11</v>
      </c>
      <c r="B10" s="9">
        <v>5.0470000000000003E-3</v>
      </c>
      <c r="C10" s="9">
        <v>19.100000000000001</v>
      </c>
      <c r="D10" s="9">
        <v>1513.0502240000001</v>
      </c>
      <c r="E10" s="9">
        <v>9.66</v>
      </c>
      <c r="F10" s="9">
        <v>-21.745166836238635</v>
      </c>
      <c r="G10" s="11">
        <v>79.217289214659687</v>
      </c>
      <c r="H10" s="12" t="s">
        <v>41</v>
      </c>
      <c r="I10" s="9">
        <v>2.222E-3</v>
      </c>
      <c r="J10" s="9">
        <v>13.3</v>
      </c>
      <c r="K10" s="9">
        <v>666.13782400000002</v>
      </c>
      <c r="L10" s="9">
        <v>9.9</v>
      </c>
      <c r="M10" s="9">
        <v>-20.719258204835427</v>
      </c>
      <c r="N10" s="9">
        <v>50.085550676691732</v>
      </c>
    </row>
    <row r="11" spans="1:14" x14ac:dyDescent="0.35">
      <c r="A11" s="8" t="s">
        <v>12</v>
      </c>
      <c r="B11" s="9">
        <v>3.6900000000000001E-3</v>
      </c>
      <c r="C11" s="9">
        <v>16.8</v>
      </c>
      <c r="D11" s="9">
        <v>1106.2324800000001</v>
      </c>
      <c r="E11" s="9">
        <v>8.8000000000000007</v>
      </c>
      <c r="F11" s="9">
        <v>-22.326546408629316</v>
      </c>
      <c r="G11" s="11">
        <v>65.847171428571428</v>
      </c>
      <c r="H11" s="12" t="s">
        <v>42</v>
      </c>
      <c r="I11" s="9">
        <v>4.2300000000000003E-3</v>
      </c>
      <c r="J11" s="9">
        <v>23.4</v>
      </c>
      <c r="K11" s="9">
        <v>1268.1201600000002</v>
      </c>
      <c r="L11" s="9">
        <v>13.33</v>
      </c>
      <c r="M11" s="9">
        <v>-18.516079287050715</v>
      </c>
      <c r="N11" s="9">
        <v>54.193169230769243</v>
      </c>
    </row>
    <row r="12" spans="1:14" x14ac:dyDescent="0.35">
      <c r="A12" s="8" t="s">
        <v>13</v>
      </c>
      <c r="B12" s="9">
        <v>5.2399999999999999E-3</v>
      </c>
      <c r="C12" s="9">
        <v>16.100000000000001</v>
      </c>
      <c r="D12" s="9">
        <v>1570.9100799999999</v>
      </c>
      <c r="E12" s="9">
        <v>9.65</v>
      </c>
      <c r="F12" s="9">
        <v>-21.384129380159251</v>
      </c>
      <c r="G12" s="11">
        <v>97.572054658385071</v>
      </c>
      <c r="H12" s="12" t="s">
        <v>43</v>
      </c>
      <c r="I12" s="9">
        <v>3.65E-3</v>
      </c>
      <c r="J12" s="9">
        <v>23.7</v>
      </c>
      <c r="K12" s="9">
        <v>1094.2408</v>
      </c>
      <c r="L12" s="9">
        <v>11.79</v>
      </c>
      <c r="M12" s="9">
        <v>-20.083741730050519</v>
      </c>
      <c r="N12" s="9">
        <v>46.170497890295358</v>
      </c>
    </row>
    <row r="13" spans="1:14" x14ac:dyDescent="0.35">
      <c r="A13" s="8" t="s">
        <v>14</v>
      </c>
      <c r="B13" s="9">
        <v>2.3400000000000001E-3</v>
      </c>
      <c r="C13" s="9">
        <v>11</v>
      </c>
      <c r="D13" s="9">
        <v>701.51328000000001</v>
      </c>
      <c r="E13" s="9">
        <v>8.9</v>
      </c>
      <c r="F13" s="9">
        <v>-21.306963425791125</v>
      </c>
      <c r="G13" s="11">
        <v>63.773934545454544</v>
      </c>
      <c r="H13" s="12" t="s">
        <v>44</v>
      </c>
      <c r="I13" s="9">
        <v>3.3660000000000001E-3</v>
      </c>
      <c r="J13" s="9">
        <v>22.9</v>
      </c>
      <c r="K13" s="9">
        <v>1009.099872</v>
      </c>
      <c r="L13" s="9">
        <v>12.15</v>
      </c>
      <c r="M13" s="9">
        <v>-19.649177411699441</v>
      </c>
      <c r="N13" s="9">
        <v>44.065496593886465</v>
      </c>
    </row>
    <row r="14" spans="1:14" x14ac:dyDescent="0.35">
      <c r="A14" s="8" t="s">
        <v>15</v>
      </c>
      <c r="B14" s="9">
        <v>2.1879999999999998E-3</v>
      </c>
      <c r="C14" s="9">
        <v>9.1999999999999993</v>
      </c>
      <c r="D14" s="9">
        <v>655.94489599999997</v>
      </c>
      <c r="E14" s="9">
        <v>9.4</v>
      </c>
      <c r="F14" s="9">
        <v>-20.418939136727779</v>
      </c>
      <c r="G14" s="11">
        <v>71.298358260869563</v>
      </c>
      <c r="H14" s="12" t="s">
        <v>45</v>
      </c>
      <c r="I14" s="9">
        <v>4.2760000000000003E-3</v>
      </c>
      <c r="J14" s="9">
        <v>31.2</v>
      </c>
      <c r="K14" s="9">
        <v>1281.9105920000002</v>
      </c>
      <c r="L14" s="9">
        <v>12.4</v>
      </c>
      <c r="M14" s="9">
        <v>-20.070772970092214</v>
      </c>
      <c r="N14" s="9">
        <v>41.086877948717955</v>
      </c>
    </row>
    <row r="15" spans="1:14" x14ac:dyDescent="0.35">
      <c r="A15" s="8" t="s">
        <v>16</v>
      </c>
      <c r="B15" s="9">
        <v>3.81E-3</v>
      </c>
      <c r="C15" s="9">
        <v>14.4</v>
      </c>
      <c r="D15" s="9">
        <v>1142.2075199999999</v>
      </c>
      <c r="E15" s="9">
        <v>8.9</v>
      </c>
      <c r="F15" s="9">
        <v>-21.891812460476245</v>
      </c>
      <c r="G15" s="11">
        <v>79.319966666666659</v>
      </c>
      <c r="H15" s="12" t="s">
        <v>46</v>
      </c>
      <c r="I15" s="9">
        <v>2.3602999999999999E-2</v>
      </c>
      <c r="J15" s="9">
        <v>116</v>
      </c>
      <c r="K15" s="9">
        <v>7075.9905760000001</v>
      </c>
      <c r="L15" s="9">
        <v>14.1</v>
      </c>
      <c r="M15" s="9">
        <v>-21.222289946134588</v>
      </c>
      <c r="N15" s="9">
        <v>60.999918758620694</v>
      </c>
    </row>
    <row r="16" spans="1:14" x14ac:dyDescent="0.35">
      <c r="A16" s="8" t="s">
        <v>17</v>
      </c>
      <c r="B16" s="9">
        <v>3.369E-3</v>
      </c>
      <c r="C16" s="9">
        <v>18.399999999999999</v>
      </c>
      <c r="D16" s="9">
        <v>1009.999248</v>
      </c>
      <c r="E16" s="9">
        <v>9.1</v>
      </c>
      <c r="F16" s="9">
        <v>-22.224089115047683</v>
      </c>
      <c r="G16" s="11">
        <v>54.891263478260875</v>
      </c>
      <c r="H16" s="12" t="s">
        <v>47</v>
      </c>
      <c r="I16" s="9">
        <v>1.489E-2</v>
      </c>
      <c r="J16" s="9">
        <v>81.2</v>
      </c>
      <c r="K16" s="9">
        <v>4463.9028800000006</v>
      </c>
      <c r="L16" s="9">
        <v>13.44</v>
      </c>
      <c r="M16" s="9">
        <v>-21.107780146205876</v>
      </c>
      <c r="N16" s="9">
        <v>54.974173399014781</v>
      </c>
    </row>
    <row r="17" spans="1:14" x14ac:dyDescent="0.35">
      <c r="A17" s="8" t="s">
        <v>18</v>
      </c>
      <c r="B17" s="9">
        <v>4.2329999999999998E-3</v>
      </c>
      <c r="C17" s="9">
        <v>18.399999999999999</v>
      </c>
      <c r="D17" s="9">
        <v>1269.019536</v>
      </c>
      <c r="E17" s="9">
        <v>8.6</v>
      </c>
      <c r="F17" s="9">
        <v>-22.724089115047683</v>
      </c>
      <c r="G17" s="11">
        <v>68.968453043478263</v>
      </c>
      <c r="H17" s="12" t="s">
        <v>48</v>
      </c>
      <c r="I17" s="9">
        <v>2.5221E-2</v>
      </c>
      <c r="J17" s="9">
        <v>114</v>
      </c>
      <c r="K17" s="9">
        <v>7561.054032</v>
      </c>
      <c r="L17" s="9">
        <v>14.4</v>
      </c>
      <c r="M17" s="9">
        <v>-20.884524256682361</v>
      </c>
      <c r="N17" s="9">
        <v>66.325035368421055</v>
      </c>
    </row>
    <row r="18" spans="1:14" x14ac:dyDescent="0.35">
      <c r="A18" s="8" t="s">
        <v>19</v>
      </c>
      <c r="B18" s="9">
        <v>7.6020000000000003E-3</v>
      </c>
      <c r="C18" s="9">
        <v>14.41</v>
      </c>
      <c r="D18" s="9">
        <v>2279.0187839999999</v>
      </c>
      <c r="E18" s="9">
        <v>9.6</v>
      </c>
      <c r="F18" s="9">
        <v>-21.193319904069945</v>
      </c>
      <c r="G18" s="11">
        <v>158.1553632199861</v>
      </c>
      <c r="H18" s="12" t="s">
        <v>49</v>
      </c>
      <c r="I18" s="9">
        <v>2.647E-2</v>
      </c>
      <c r="J18" s="9">
        <v>67.599999999999994</v>
      </c>
      <c r="K18" s="9">
        <v>7935.49424</v>
      </c>
      <c r="L18" s="9">
        <v>13.24</v>
      </c>
      <c r="M18" s="9">
        <v>-20.909733479708173</v>
      </c>
      <c r="N18" s="9">
        <v>117.38896804733729</v>
      </c>
    </row>
    <row r="19" spans="1:14" x14ac:dyDescent="0.35">
      <c r="A19" s="8" t="s">
        <v>20</v>
      </c>
      <c r="B19" s="9">
        <v>9.6000000000000002E-4</v>
      </c>
      <c r="C19" s="9">
        <v>4.91</v>
      </c>
      <c r="D19" s="9">
        <v>287.80032</v>
      </c>
      <c r="E19" s="9">
        <v>8.1999999999999993</v>
      </c>
      <c r="F19" s="9">
        <v>-20.255407460614844</v>
      </c>
      <c r="G19" s="11">
        <v>58.615136456211808</v>
      </c>
      <c r="H19" s="12" t="s">
        <v>50</v>
      </c>
      <c r="I19" s="9">
        <v>2.2526000000000001E-2</v>
      </c>
      <c r="J19" s="9">
        <v>127</v>
      </c>
      <c r="K19" s="9">
        <v>6753.1145919999999</v>
      </c>
      <c r="L19" s="9">
        <v>13.56</v>
      </c>
      <c r="M19" s="9">
        <v>-21.959018604779786</v>
      </c>
      <c r="N19" s="9">
        <v>53.174130645669294</v>
      </c>
    </row>
    <row r="20" spans="1:14" x14ac:dyDescent="0.35">
      <c r="A20" s="8" t="s">
        <v>21</v>
      </c>
      <c r="B20" s="9">
        <v>2.5950000000000001E-3</v>
      </c>
      <c r="C20" s="9">
        <v>10</v>
      </c>
      <c r="D20" s="9">
        <v>777.96024</v>
      </c>
      <c r="E20" s="9">
        <v>9.6999999999999993</v>
      </c>
      <c r="F20" s="9">
        <v>-20.3</v>
      </c>
      <c r="G20" s="11">
        <v>77.796024000000003</v>
      </c>
      <c r="H20" s="12" t="s">
        <v>51</v>
      </c>
      <c r="I20" s="9">
        <v>3.9899999999999996E-3</v>
      </c>
      <c r="J20" s="9">
        <v>16.899999999999999</v>
      </c>
      <c r="K20" s="9">
        <v>1196.1700799999999</v>
      </c>
      <c r="L20" s="9">
        <v>13.6</v>
      </c>
      <c r="M20" s="9">
        <v>-17.539433523068368</v>
      </c>
      <c r="N20" s="9">
        <v>70.779294674556212</v>
      </c>
    </row>
    <row r="21" spans="1:14" x14ac:dyDescent="0.35">
      <c r="A21" s="8" t="s">
        <v>22</v>
      </c>
      <c r="B21" s="9">
        <v>3.0119999999999999E-3</v>
      </c>
      <c r="C21" s="9">
        <v>9.6</v>
      </c>
      <c r="D21" s="9">
        <v>902.97350399999993</v>
      </c>
      <c r="E21" s="9">
        <v>9.3000000000000007</v>
      </c>
      <c r="F21" s="9">
        <v>-20.61135616519784</v>
      </c>
      <c r="G21" s="11">
        <v>94.059739999999991</v>
      </c>
      <c r="H21" s="12" t="s">
        <v>52</v>
      </c>
      <c r="I21" s="9">
        <v>1.0649E-2</v>
      </c>
      <c r="J21" s="9">
        <v>45</v>
      </c>
      <c r="K21" s="9">
        <v>3192.4850080000001</v>
      </c>
      <c r="L21" s="9">
        <v>11.3</v>
      </c>
      <c r="M21" s="9">
        <v>-21.966062568876719</v>
      </c>
      <c r="N21" s="9">
        <v>70.944111288888891</v>
      </c>
    </row>
    <row r="22" spans="1:14" x14ac:dyDescent="0.35">
      <c r="A22" s="8" t="s">
        <v>23</v>
      </c>
      <c r="B22" s="9">
        <v>8.0359999999999997E-3</v>
      </c>
      <c r="C22" s="9">
        <v>15.4</v>
      </c>
      <c r="D22" s="9">
        <v>2409.1285119999998</v>
      </c>
      <c r="E22" s="9">
        <v>9.9</v>
      </c>
      <c r="F22" s="9">
        <v>-21.037603604182316</v>
      </c>
      <c r="G22" s="11">
        <v>156.43691636363636</v>
      </c>
      <c r="H22" s="12" t="s">
        <v>76</v>
      </c>
      <c r="I22" s="9">
        <v>0.15834000000000001</v>
      </c>
      <c r="J22" s="9">
        <v>657.8</v>
      </c>
      <c r="K22" s="9">
        <v>47469.065280000003</v>
      </c>
      <c r="L22" s="9" t="s">
        <v>61</v>
      </c>
      <c r="M22" s="9" t="s">
        <v>61</v>
      </c>
      <c r="N22" s="9">
        <v>72.16337075098815</v>
      </c>
    </row>
    <row r="23" spans="1:14" x14ac:dyDescent="0.35">
      <c r="A23" s="8" t="s">
        <v>24</v>
      </c>
      <c r="B23" s="9">
        <v>5.2500000000000003E-3</v>
      </c>
      <c r="C23" s="9">
        <v>16.86</v>
      </c>
      <c r="D23" s="9">
        <v>1573.9080000000001</v>
      </c>
      <c r="E23" s="9">
        <v>9.4</v>
      </c>
      <c r="F23" s="9">
        <v>-21.734287851443618</v>
      </c>
      <c r="G23" s="11">
        <v>93.351601423487551</v>
      </c>
      <c r="H23" s="12" t="s">
        <v>75</v>
      </c>
      <c r="I23" s="9">
        <v>5.2690000000000001E-2</v>
      </c>
      <c r="J23" s="9">
        <v>231.14</v>
      </c>
      <c r="K23" s="9">
        <v>15796.04048</v>
      </c>
      <c r="L23" s="9" t="s">
        <v>61</v>
      </c>
      <c r="M23" s="9" t="s">
        <v>61</v>
      </c>
      <c r="N23" s="9">
        <v>68.33970961322143</v>
      </c>
    </row>
    <row r="24" spans="1:14" x14ac:dyDescent="0.35">
      <c r="A24" s="8" t="s">
        <v>25</v>
      </c>
      <c r="B24" s="9">
        <v>3.6419999999999998E-3</v>
      </c>
      <c r="C24" s="9">
        <v>8.98</v>
      </c>
      <c r="D24" s="9">
        <v>1091.8424640000001</v>
      </c>
      <c r="E24" s="9">
        <v>8</v>
      </c>
      <c r="F24" s="9">
        <v>-21.766381683336522</v>
      </c>
      <c r="G24" s="11">
        <v>121.58602048997773</v>
      </c>
      <c r="H24" s="12" t="s">
        <v>74</v>
      </c>
      <c r="I24" s="9">
        <v>0.10934000000000001</v>
      </c>
      <c r="J24" s="9">
        <v>440.55</v>
      </c>
      <c r="K24" s="9">
        <v>32779.257280000005</v>
      </c>
      <c r="L24" s="9" t="s">
        <v>61</v>
      </c>
      <c r="M24" s="9" t="s">
        <v>61</v>
      </c>
      <c r="N24" s="9">
        <v>74.405305368289646</v>
      </c>
    </row>
    <row r="25" spans="1:14" x14ac:dyDescent="0.35">
      <c r="A25" s="8" t="s">
        <v>26</v>
      </c>
      <c r="B25" s="9">
        <v>2.9220000000000001E-3</v>
      </c>
      <c r="C25" s="9">
        <v>9.8000000000000007</v>
      </c>
      <c r="D25" s="9">
        <v>875.99222400000008</v>
      </c>
      <c r="E25" s="9">
        <v>9.3000000000000007</v>
      </c>
      <c r="F25" s="9">
        <v>-20.656130378462475</v>
      </c>
      <c r="G25" s="11">
        <v>89.386961632653069</v>
      </c>
      <c r="H25" s="12" t="s">
        <v>5</v>
      </c>
      <c r="I25" s="9">
        <v>5.0360000000000002E-2</v>
      </c>
      <c r="J25" s="9">
        <v>213</v>
      </c>
      <c r="K25" s="9">
        <v>15097.52512</v>
      </c>
      <c r="L25" s="9" t="s">
        <v>61</v>
      </c>
      <c r="M25" s="9" t="s">
        <v>61</v>
      </c>
      <c r="N25" s="9">
        <v>70.880399624413144</v>
      </c>
    </row>
    <row r="26" spans="1:14" x14ac:dyDescent="0.35">
      <c r="A26" s="8" t="s">
        <v>27</v>
      </c>
      <c r="B26" s="9">
        <v>1.5410000000000001E-3</v>
      </c>
      <c r="C26" s="9">
        <v>7</v>
      </c>
      <c r="D26" s="9">
        <v>461.97947200000004</v>
      </c>
      <c r="E26" s="9">
        <v>8.4</v>
      </c>
      <c r="F26" s="9">
        <v>-20.825490200071286</v>
      </c>
      <c r="G26" s="11">
        <v>65.997067428571441</v>
      </c>
      <c r="H26" s="12" t="s">
        <v>77</v>
      </c>
      <c r="I26" s="9">
        <v>0.11264</v>
      </c>
      <c r="J26" s="9">
        <v>481.64</v>
      </c>
      <c r="K26" s="9">
        <v>33768.570879999999</v>
      </c>
      <c r="L26" s="9" t="s">
        <v>61</v>
      </c>
      <c r="M26" s="9" t="s">
        <v>61</v>
      </c>
      <c r="N26" s="9">
        <v>70.111641225811809</v>
      </c>
    </row>
    <row r="27" spans="1:14" x14ac:dyDescent="0.35">
      <c r="A27" s="8" t="s">
        <v>28</v>
      </c>
      <c r="B27" s="9">
        <v>2.3280000000000002E-3</v>
      </c>
      <c r="C27" s="9">
        <v>14.1</v>
      </c>
      <c r="D27" s="9">
        <v>697.91577600000005</v>
      </c>
      <c r="E27" s="9">
        <v>10</v>
      </c>
      <c r="F27" s="9">
        <v>-20.746095563276899</v>
      </c>
      <c r="G27" s="11">
        <v>49.49757276595745</v>
      </c>
      <c r="H27" s="12" t="s">
        <v>70</v>
      </c>
      <c r="I27" s="9">
        <v>0.17780000000000001</v>
      </c>
      <c r="J27" s="9">
        <v>736.6</v>
      </c>
      <c r="K27" s="9">
        <v>53303.017600000006</v>
      </c>
      <c r="L27" s="9" t="s">
        <v>61</v>
      </c>
      <c r="M27" s="9" t="s">
        <v>61</v>
      </c>
      <c r="N27" s="9">
        <v>72.363586206896557</v>
      </c>
    </row>
    <row r="28" spans="1:14" x14ac:dyDescent="0.35">
      <c r="A28" s="8" t="s">
        <v>29</v>
      </c>
      <c r="B28" s="9">
        <v>-8.1999999999999998E-4</v>
      </c>
      <c r="C28" s="9">
        <v>824</v>
      </c>
      <c r="D28" s="9">
        <v>-245.82944000000001</v>
      </c>
      <c r="E28" s="9">
        <v>8.1</v>
      </c>
      <c r="F28" s="9">
        <v>-31.479636058485575</v>
      </c>
      <c r="G28" s="11">
        <v>-0.29833669902912624</v>
      </c>
      <c r="H28" s="12" t="s">
        <v>71</v>
      </c>
      <c r="I28" s="9">
        <v>5.3999999999999999E-2</v>
      </c>
      <c r="J28" s="9">
        <v>193.41</v>
      </c>
      <c r="K28" s="9">
        <v>16188.768</v>
      </c>
      <c r="L28" s="9" t="s">
        <v>61</v>
      </c>
      <c r="M28" s="9" t="s">
        <v>61</v>
      </c>
      <c r="N28" s="9">
        <v>83.701814797580269</v>
      </c>
    </row>
    <row r="29" spans="1:14" x14ac:dyDescent="0.35">
      <c r="A29" s="8" t="s">
        <v>30</v>
      </c>
      <c r="B29" s="9">
        <v>4.8700000000000002E-4</v>
      </c>
      <c r="C29" s="9">
        <v>1.98</v>
      </c>
      <c r="D29" s="9">
        <v>145.998704</v>
      </c>
      <c r="E29" s="9">
        <v>8.1300000000000008</v>
      </c>
      <c r="F29" s="9">
        <v>-18.353325951307653</v>
      </c>
      <c r="G29" s="11">
        <v>73.736719191919192</v>
      </c>
      <c r="H29" s="12" t="s">
        <v>72</v>
      </c>
      <c r="I29" s="9">
        <v>5.518E-2</v>
      </c>
      <c r="J29" s="9">
        <v>197.48500000000001</v>
      </c>
      <c r="K29" s="9">
        <v>16542.522560000001</v>
      </c>
      <c r="L29" s="9" t="s">
        <v>61</v>
      </c>
      <c r="M29" s="9" t="s">
        <v>61</v>
      </c>
      <c r="N29" s="9">
        <v>83.765969871129457</v>
      </c>
    </row>
    <row r="30" spans="1:14" ht="15" thickBot="1" x14ac:dyDescent="0.4">
      <c r="A30" s="8" t="s">
        <v>31</v>
      </c>
      <c r="B30" s="9">
        <v>1.761E-3</v>
      </c>
      <c r="C30" s="9">
        <v>9.1199999999999992</v>
      </c>
      <c r="D30" s="9">
        <v>527.93371200000001</v>
      </c>
      <c r="E30" s="9">
        <v>10.1</v>
      </c>
      <c r="F30" s="9">
        <v>-19.699974191642085</v>
      </c>
      <c r="G30" s="11">
        <v>57.887468421052638</v>
      </c>
      <c r="H30" s="12" t="s">
        <v>73</v>
      </c>
      <c r="I30" s="9">
        <v>7.1139999999999995E-2</v>
      </c>
      <c r="J30" s="9">
        <v>304.79000000000002</v>
      </c>
      <c r="K30" s="9">
        <v>21327.202879999997</v>
      </c>
      <c r="L30" s="9" t="s">
        <v>61</v>
      </c>
      <c r="M30" s="13" t="s">
        <v>61</v>
      </c>
      <c r="N30" s="13">
        <v>69.973433774073939</v>
      </c>
    </row>
    <row r="31" spans="1:14" ht="15" thickBot="1" x14ac:dyDescent="0.4">
      <c r="A31" s="8" t="s">
        <v>32</v>
      </c>
      <c r="B31" s="9">
        <v>1.84E-2</v>
      </c>
      <c r="C31" s="9">
        <v>77</v>
      </c>
      <c r="D31" s="9">
        <v>5516.1728000000003</v>
      </c>
      <c r="E31" s="9">
        <v>13.53</v>
      </c>
      <c r="F31" s="9">
        <v>-20.902453625862407</v>
      </c>
      <c r="G31" s="9">
        <v>71.638607792207793</v>
      </c>
      <c r="H31" s="6"/>
      <c r="I31" s="7"/>
      <c r="J31" s="7"/>
      <c r="K31" s="7"/>
      <c r="L31" s="7"/>
      <c r="M31" s="14" t="s">
        <v>67</v>
      </c>
      <c r="N31" s="15">
        <v>73.417354415789617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JERONIMO SANCHEZ</dc:creator>
  <cp:lastModifiedBy>ALVARO JERONIMO SANCHEZ</cp:lastModifiedBy>
  <dcterms:created xsi:type="dcterms:W3CDTF">2025-12-25T13:11:39Z</dcterms:created>
  <dcterms:modified xsi:type="dcterms:W3CDTF">2025-12-26T20:31:10Z</dcterms:modified>
</cp:coreProperties>
</file>